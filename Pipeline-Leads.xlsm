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D748D28C-ABCA-6340-A79E-AE3EC6E78321}" xr6:coauthVersionLast="47" xr6:coauthVersionMax="47" xr10:uidLastSave="{00000000-0000-0000-0000-000000000000}"/>
  <bookViews>
    <workbookView xWindow="39040" yWindow="880" windowWidth="38400" windowHeight="21300" activeTab="1" xr2:uid="{00000000-000D-0000-FFFF-FFFF00000000}"/>
  </bookViews>
  <sheets>
    <sheet name="Pipeline" sheetId="1" r:id="rId1"/>
    <sheet name="Dashboard" sheetId="7" r:id="rId2"/>
    <sheet name="Stats" sheetId="2" r:id="rId3"/>
    <sheet name="Berechnung" sheetId="5" r:id="rId4"/>
    <sheet name="PLZ" sheetId="4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n" hidden="1" xlm="1">#NAME?</definedName>
    <definedName name="_xlpm.s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7" l="1"/>
  <c r="B34" i="7"/>
  <c r="A34" i="7"/>
  <c r="C26" i="7"/>
  <c r="B26" i="7"/>
  <c r="A26" i="7"/>
  <c r="C21" i="7"/>
  <c r="D21" i="7"/>
  <c r="E21" i="7"/>
  <c r="F21" i="7"/>
  <c r="G21" i="7"/>
  <c r="H21" i="7"/>
  <c r="C22" i="7"/>
  <c r="D22" i="7"/>
  <c r="E22" i="7"/>
  <c r="F22" i="7"/>
  <c r="G22" i="7"/>
  <c r="H22" i="7"/>
  <c r="C23" i="7"/>
  <c r="D23" i="7"/>
  <c r="E23" i="7"/>
  <c r="F23" i="7"/>
  <c r="G23" i="7"/>
  <c r="H23" i="7"/>
  <c r="B20" i="7"/>
  <c r="B19" i="7"/>
  <c r="B14" i="7"/>
  <c r="B13" i="7"/>
  <c r="B12" i="7"/>
  <c r="I6" i="7"/>
  <c r="I7" i="7"/>
  <c r="I5" i="7"/>
  <c r="H6" i="7"/>
  <c r="H7" i="7"/>
  <c r="H5" i="7"/>
  <c r="B6" i="7"/>
  <c r="C6" i="7"/>
  <c r="D6" i="7"/>
  <c r="E6" i="7"/>
  <c r="F6" i="7"/>
  <c r="G6" i="7"/>
  <c r="B7" i="7"/>
  <c r="C7" i="7"/>
  <c r="D7" i="7"/>
  <c r="E7" i="7"/>
  <c r="F7" i="7"/>
  <c r="G7" i="7"/>
  <c r="C5" i="7"/>
  <c r="D5" i="7"/>
  <c r="E5" i="7"/>
  <c r="F5" i="7"/>
  <c r="G5" i="7"/>
  <c r="B5" i="7"/>
  <c r="G18" i="2"/>
  <c r="G19" i="2"/>
  <c r="J18" i="2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<sst xmlns="http://schemas.openxmlformats.org/spreadsheetml/2006/main" count="10303" uniqueCount="7095">
  <si>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</si>
  <si>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</si>
  <si>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</si>
  <si>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</si>
  <si>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</si>
  <si>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</si>
  <si>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</si>
  <si>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</si>
  <si>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</si>
  <si>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</si>
  <si>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</si>
  <si>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</si>
  <si>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</si>
  <si>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</si>
  <si>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</si>
  <si>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</si>
  <si>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</si>
  <si>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</si>
  <si>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</si>
  <si>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</si>
  <si>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</si>
  <si>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</si>
  <si>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</si>
  <si>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</si>
  <si>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</si>
  <si>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</si>
  <si>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</si>
  <si>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</si>
  <si>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</si>
  <si>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</si>
  <si>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</si>
  <si>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</si>
  <si>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</si>
  <si>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</si>
  <si>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</si>
  <si>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</si>
  <si>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</si>
  <si>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</si>
  <si>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</si>
  <si>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</si>
  <si>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</si>
  <si>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</si>
  <si>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</si>
  <si>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</si>
  <si>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</si>
  <si>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</si>
  <si>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</si>
  <si>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</si>
  <si>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</si>
  <si>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</si>
  <si>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</si>
  <si>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</si>
  <si>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</si>
  <si>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</si>
  <si>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</si>
  <si>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</si>
  <si>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</si>
  <si>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</si>
  <si>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</si>
  <si>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</si>
  <si>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</si>
  <si>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</si>
  <si>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</si>
  <si>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</si>
  <si>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</si>
  <si>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</si>
  <si>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</si>
  <si>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</si>
  <si>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</si>
  <si>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</si>
  <si>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</si>
  <si>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</si>
  <si>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</si>
  <si>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</si>
  <si>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</si>
  <si>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</si>
  <si>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</si>
  <si>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</si>
  <si>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</si>
  <si>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</si>
  <si>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</si>
  <si>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</si>
  <si>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</si>
  <si>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</si>
  <si>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</si>
  <si>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</si>
  <si>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</si>
  <si>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</si>
  <si>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</si>
  <si>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</si>
  <si>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</si>
  <si>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</si>
  <si>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</si>
  <si>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</si>
  <si>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</si>
  <si>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</si>
  <si>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</si>
  <si>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</si>
  <si>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</si>
  <si>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</si>
  <si>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</si>
  <si>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</si>
  <si>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</si>
  <si>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</si>
  <si>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</si>
  <si>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</si>
  <si>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</si>
  <si>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</si>
  <si>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</si>
  <si>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</si>
  <si>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</si>
  <si>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</si>
  <si>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</si>
  <si>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</si>
  <si>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</si>
  <si>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</si>
  <si>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</si>
  <si>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</si>
  <si>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</si>
  <si>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</si>
  <si>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</si>
  <si>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</si>
  <si>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</si>
  <si>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</si>
  <si>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</si>
  <si>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</si>
  <si>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</si>
  <si>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</si>
  <si>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</si>
  <si>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</si>
  <si>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</si>
  <si>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</si>
  <si>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</si>
  <si>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</si>
  <si>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</si>
  <si>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</si>
  <si>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</si>
  <si>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</si>
  <si>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</si>
  <si>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</si>
  <si>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</si>
  <si>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</si>
  <si>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</si>
  <si>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</si>
  <si>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</si>
  <si>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</si>
  <si>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</si>
  <si>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</si>
  <si>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</si>
  <si>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</si>
  <si>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</si>
  <si>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</si>
  <si>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</si>
  <si>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</si>
  <si>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</si>
  <si>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</si>
  <si>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</si>
  <si>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</si>
  <si>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</si>
  <si>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</si>
  <si>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</si>
  <si>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</si>
  <si>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</si>
  <si>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</si>
  <si>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</si>
  <si>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</si>
  <si>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</si>
  <si>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</si>
  <si>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</si>
  <si>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</si>
  <si>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</si>
  <si>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</si>
  <si>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</si>
  <si>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</si>
  <si>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</si>
  <si>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</si>
  <si>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</si>
  <si>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</si>
  <si>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</si>
  <si>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</si>
  <si>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</si>
  <si>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</si>
  <si>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</si>
  <si>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</si>
  <si>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</si>
  <si>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</si>
  <si>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</si>
  <si>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</si>
  <si>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</si>
  <si>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</si>
  <si>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</si>
  <si>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</si>
  <si>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</si>
  <si>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</si>
  <si>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</si>
  <si>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</si>
  <si>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</si>
  <si>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</si>
  <si>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</si>
  <si>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</si>
  <si>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</si>
  <si>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</si>
  <si>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</si>
  <si>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</si>
  <si>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</si>
  <si>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</si>
  <si>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</si>
  <si>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</si>
  <si>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</si>
  <si>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</si>
  <si>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</si>
  <si>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</si>
  <si>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</si>
  <si>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</si>
  <si>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</si>
  <si>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</si>
  <si>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</si>
  <si>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</si>
  <si>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</si>
  <si>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</si>
  <si>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</si>
  <si>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</si>
  <si>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</si>
  <si>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</si>
  <si>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</si>
  <si>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</si>
  <si>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</si>
  <si>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</si>
  <si>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</si>
  <si>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</si>
  <si>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</si>
  <si>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</si>
  <si>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</si>
  <si>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</si>
  <si>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</si>
  <si>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</si>
  <si>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</si>
  <si>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</si>
  <si>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</si>
  <si>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</si>
  <si>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</si>
  <si>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</si>
  <si>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</si>
  <si>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</si>
  <si>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</si>
  <si>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</si>
  <si>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</si>
  <si>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</si>
  <si>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</si>
  <si>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</si>
  <si>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</si>
  <si>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</si>
  <si>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</si>
  <si>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</si>
  <si>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</si>
  <si>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</si>
  <si>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</si>
  <si>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</si>
  <si>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</si>
  <si>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</si>
  <si>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</si>
  <si>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</si>
  <si>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</si>
  <si>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</si>
  <si>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</si>
  <si>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</si>
  <si>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</si>
  <si>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</si>
  <si>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</si>
  <si>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</si>
  <si>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</si>
  <si>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</si>
  <si>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</si>
  <si>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</si>
  <si>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</si>
  <si>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</si>
  <si>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</si>
  <si>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</si>
  <si>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</si>
  <si>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</si>
  <si>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</si>
  <si>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</si>
  <si>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</si>
  <si>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</si>
  <si>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</si>
  <si>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</si>
  <si>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</si>
  <si>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</si>
  <si>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</si>
  <si>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</si>
  <si>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</si>
  <si>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</si>
  <si>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</si>
  <si>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</si>
  <si>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</si>
  <si>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</si>
  <si>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</si>
  <si>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</si>
  <si>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</si>
  <si>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</si>
  <si>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</si>
  <si>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</si>
  <si>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</si>
  <si>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</si>
  <si>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</si>
  <si>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</si>
  <si>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</si>
  <si>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</si>
  <si>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</si>
  <si>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</si>
  <si>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</si>
  <si>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</si>
  <si>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</si>
  <si>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</si>
  <si>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</si>
  <si>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</si>
  <si>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</si>
  <si>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</si>
  <si>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</si>
  <si>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</si>
  <si>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</si>
  <si>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</si>
  <si>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</si>
  <si>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</si>
  <si>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</si>
  <si>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</si>
  <si>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</si>
  <si>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</si>
  <si>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</si>
  <si>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</si>
  <si>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</si>
  <si>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</si>
  <si>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</si>
  <si>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</si>
  <si>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</si>
  <si>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</si>
  <si>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</si>
  <si>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</si>
  <si>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</si>
  <si>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</si>
  <si>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</si>
  <si>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</si>
  <si>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</si>
  <si>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</si>
  <si>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</si>
  <si>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</si>
  <si>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</si>
  <si>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</si>
  <si>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</si>
  <si>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</si>
  <si>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</si>
  <si>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</si>
  <si>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</si>
  <si>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</si>
  <si>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</si>
  <si>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</si>
  <si>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</si>
  <si>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</si>
  <si>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</si>
  <si>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</si>
  <si>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</si>
  <si>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</si>
  <si>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</si>
  <si>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</si>
  <si>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</si>
  <si>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</si>
  <si>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</si>
  <si>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</si>
  <si>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</si>
  <si>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</si>
  <si>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</si>
  <si>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</si>
  <si>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</si>
  <si>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</si>
  <si>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</si>
  <si>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</si>
  <si>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</si>
  <si>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</si>
  <si>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</si>
  <si>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</si>
  <si>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</si>
  <si>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</si>
  <si>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</si>
  <si>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</si>
  <si>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</si>
  <si>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</si>
  <si>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</si>
  <si>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</si>
  <si>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</si>
  <si>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</si>
  <si>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</si>
  <si>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</si>
  <si>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</si>
  <si>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</si>
  <si>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</si>
  <si>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</si>
  <si>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</si>
  <si>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</si>
  <si>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</si>
  <si>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</si>
  <si>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</si>
  <si>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</si>
  <si>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</si>
  <si>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</si>
  <si>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</si>
  <si>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</si>
  <si>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</si>
  <si>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</si>
  <si>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</si>
  <si>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</si>
  <si>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</si>
  <si>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</si>
  <si>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</si>
  <si>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</si>
  <si>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</si>
  <si>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</si>
  <si>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</si>
  <si>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</si>
  <si>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</si>
  <si>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</si>
  <si>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</si>
  <si>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</si>
  <si>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</si>
  <si>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</si>
  <si>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</si>
  <si>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</si>
  <si>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</si>
  <si>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</si>
  <si>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</si>
  <si>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</si>
  <si>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</si>
  <si>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</si>
  <si>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</si>
  <si>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</si>
  <si>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</si>
  <si>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</si>
  <si>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</si>
  <si>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</si>
  <si>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</si>
  <si>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</si>
  <si>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</si>
  <si>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</si>
  <si>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</si>
  <si>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</si>
  <si>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</si>
  <si>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</si>
  <si>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</si>
  <si>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</si>
  <si>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</si>
  <si>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</si>
  <si>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</si>
  <si>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</si>
  <si>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</si>
  <si>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</si>
  <si>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</si>
  <si>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</si>
  <si>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</si>
  <si>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</si>
  <si>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</si>
  <si>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</si>
  <si>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</si>
  <si>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</si>
  <si>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</si>
  <si>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</si>
  <si>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</si>
  <si>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</si>
  <si>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</si>
  <si>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</si>
  <si>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</si>
  <si>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</si>
  <si>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</si>
  <si>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</si>
  <si>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</si>
  <si>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</si>
  <si>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</si>
  <si>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</si>
  <si>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</si>
  <si>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</si>
  <si>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</si>
  <si>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</si>
  <si>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</si>
  <si>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</si>
  <si>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</si>
  <si>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</si>
  <si>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</si>
  <si>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</si>
  <si>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</si>
  <si>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</si>
  <si>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</si>
  <si>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</si>
  <si>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</si>
  <si>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</si>
  <si>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</si>
  <si>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</si>
  <si>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</si>
  <si>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</si>
  <si>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</si>
  <si>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</si>
  <si>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</si>
  <si>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</si>
  <si>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</si>
  <si>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</si>
  <si>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</si>
  <si>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</si>
  <si>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</si>
  <si>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</si>
  <si>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</si>
  <si>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</si>
  <si>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</si>
  <si>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</si>
  <si>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</si>
  <si>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</si>
  <si>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</si>
  <si>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</si>
  <si>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</si>
  <si>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</si>
  <si>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</si>
  <si>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</si>
  <si>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</si>
  <si>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</si>
  <si>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</si>
  <si>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</si>
  <si>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</si>
  <si>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</si>
  <si>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</si>
  <si>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</si>
  <si>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</si>
  <si>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</si>
  <si>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</si>
  <si>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</si>
  <si>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</si>
  <si>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</si>
  <si>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</si>
  <si>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</si>
  <si>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</si>
  <si>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</si>
  <si>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</si>
  <si>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</si>
  <si>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</si>
  <si>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</si>
  <si>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</si>
  <si>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</si>
  <si>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</si>
  <si>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</si>
  <si>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</si>
  <si>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</si>
  <si>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</si>
  <si>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</si>
  <si>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</si>
  <si>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</si>
  <si>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</si>
  <si>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</si>
  <si>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</si>
  <si>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</si>
  <si>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</si>
  <si>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</si>
  <si>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</si>
  <si>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</si>
  <si>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</si>
  <si>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</si>
  <si>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</si>
  <si>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</si>
  <si>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</si>
  <si>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</si>
  <si>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</si>
  <si>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</si>
  <si>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</si>
  <si>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</si>
  <si>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</si>
  <si>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</si>
  <si>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</si>
  <si>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</si>
  <si>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</si>
  <si>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</si>
  <si>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</si>
  <si>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</si>
  <si>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</si>
  <si>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</si>
  <si>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</si>
  <si>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</si>
  <si>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</si>
  <si>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</si>
  <si>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</si>
  <si>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</si>
  <si>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</si>
  <si>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</si>
  <si>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</si>
  <si>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</si>
  <si>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</si>
  <si>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</si>
  <si>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</si>
  <si>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</si>
  <si>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</si>
  <si>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</si>
  <si>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</si>
  <si>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</si>
  <si>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</si>
  <si>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</si>
  <si>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</si>
  <si>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</si>
  <si>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</si>
  <si>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</si>
  <si>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</si>
  <si>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</si>
  <si>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</si>
  <si>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</si>
  <si>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</si>
  <si>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</si>
  <si>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</si>
  <si>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</si>
  <si>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</si>
  <si>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</si>
  <si>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</si>
  <si>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</si>
  <si>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</si>
  <si>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</si>
  <si>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</si>
  <si>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</si>
  <si>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</si>
  <si>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</si>
  <si>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</si>
  <si>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</si>
  <si>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</si>
  <si>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</si>
  <si>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</si>
  <si>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</si>
  <si>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</si>
  <si>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</si>
  <si>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</si>
  <si>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</si>
  <si>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</si>
  <si>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</si>
  <si>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</si>
  <si>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</si>
  <si>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</si>
  <si>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</si>
  <si>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</si>
  <si>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</si>
  <si>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</si>
  <si>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</si>
  <si>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</si>
  <si>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</si>
  <si>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</si>
  <si>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</si>
  <si>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</si>
  <si>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</si>
  <si>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</si>
  <si>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</si>
  <si>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</si>
  <si>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</si>
  <si>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</si>
  <si>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</si>
  <si>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</si>
  <si>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</si>
  <si>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</si>
  <si>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</si>
  <si>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</si>
  <si>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</si>
  <si>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</si>
  <si>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</si>
  <si>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</si>
  <si>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</si>
  <si>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</si>
  <si>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</si>
  <si>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</si>
  <si>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</si>
  <si>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</si>
  <si>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</si>
  <si>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</si>
  <si>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</si>
  <si>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</si>
  <si>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</si>
  <si>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</si>
  <si>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</si>
  <si>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</si>
  <si>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</si>
  <si>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</si>
  <si>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</si>
  <si>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</si>
  <si>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</si>
  <si>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</si>
  <si>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</si>
  <si>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</si>
  <si>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</si>
  <si>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</si>
  <si>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</si>
  <si>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</si>
  <si>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</si>
  <si>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</si>
  <si>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</si>
  <si>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</si>
  <si>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</si>
  <si>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</si>
  <si>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</si>
  <si>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</si>
  <si>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</si>
  <si>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</si>
  <si>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</si>
  <si>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</si>
  <si>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</si>
  <si>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</si>
  <si>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</si>
  <si>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</si>
  <si>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</si>
  <si>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</si>
  <si>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</si>
  <si>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</si>
  <si>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</si>
  <si>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</si>
  <si>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</si>
  <si>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</si>
  <si>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</si>
  <si>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</si>
  <si>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</si>
  <si>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</si>
  <si>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</si>
  <si>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</si>
  <si>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</si>
  <si>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</si>
  <si>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</si>
  <si>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</si>
  <si>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</si>
  <si>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</si>
  <si>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</si>
  <si>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</si>
  <si>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</si>
  <si>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</si>
  <si>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</si>
  <si>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</si>
  <si>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</si>
  <si>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</si>
  <si>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</si>
  <si>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</si>
  <si>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</si>
  <si>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</si>
  <si>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</si>
  <si>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</si>
  <si>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</si>
  <si>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</si>
  <si>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</si>
  <si>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</si>
  <si>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</si>
  <si>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</si>
  <si>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</si>
  <si>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</si>
  <si>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</si>
  <si>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</si>
  <si>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</si>
  <si>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</si>
  <si>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</si>
  <si>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</si>
  <si>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</si>
  <si>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</si>
  <si>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</si>
  <si>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</si>
  <si>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</si>
  <si>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</si>
  <si>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</si>
  <si>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</si>
  <si>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</si>
  <si>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</si>
  <si>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</si>
  <si>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</si>
  <si>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</si>
  <si>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</si>
  <si>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</si>
  <si>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</si>
  <si>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</si>
  <si>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</si>
  <si>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</si>
  <si>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</si>
  <si>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</si>
  <si>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</si>
  <si>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</si>
  <si>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</si>
  <si>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</si>
  <si>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</si>
  <si>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</si>
  <si>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</si>
  <si>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</si>
  <si>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</si>
  <si>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</si>
  <si>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</si>
  <si>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</si>
  <si>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</si>
  <si>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</si>
  <si>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</si>
  <si>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</si>
  <si>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</si>
  <si>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</si>
  <si>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</si>
  <si>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</si>
  <si>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</si>
  <si>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</si>
  <si>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</si>
  <si>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</si>
  <si>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</si>
  <si>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</si>
  <si>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</si>
  <si>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</si>
  <si>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</si>
  <si>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</si>
  <si>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</si>
  <si>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</si>
  <si>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</si>
  <si>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</si>
  <si>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</si>
  <si>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</si>
  <si>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</si>
  <si>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</si>
  <si>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</si>
  <si>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</si>
  <si>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</si>
  <si>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</si>
  <si>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</si>
  <si>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</si>
  <si>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</si>
  <si>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</si>
  <si>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</si>
  <si>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</si>
  <si>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</si>
  <si>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</si>
  <si>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</si>
  <si>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</si>
  <si>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</si>
  <si>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</si>
  <si>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</si>
  <si>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</si>
  <si>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</si>
  <si>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</si>
  <si>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</si>
  <si>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</si>
  <si>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</si>
  <si>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</si>
  <si>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</si>
  <si>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</si>
  <si>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</si>
  <si>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</si>
  <si>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</si>
  <si>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</si>
  <si>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</si>
  <si>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</si>
  <si>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</si>
  <si>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</si>
  <si>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</si>
  <si>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</si>
  <si>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</si>
  <si>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</si>
  <si>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</si>
  <si>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</si>
  <si>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</si>
  <si>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</si>
  <si>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</si>
  <si>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</si>
  <si>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</si>
  <si>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</si>
  <si>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</si>
  <si>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</si>
  <si>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</si>
  <si>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</si>
  <si>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</si>
  <si>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</si>
  <si>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</si>
  <si>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</si>
  <si>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</si>
  <si>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</si>
  <si>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</si>
  <si>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</si>
  <si>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</si>
  <si>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</si>
  <si>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</si>
  <si>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</si>
  <si>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</si>
  <si>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</si>
  <si>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</si>
  <si>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</si>
  <si>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</si>
  <si>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</si>
  <si>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</si>
  <si>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</si>
  <si>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</si>
  <si>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</si>
  <si>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</si>
  <si>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</si>
  <si>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</si>
  <si>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</si>
  <si>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</si>
  <si>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</si>
  <si>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</si>
  <si>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</si>
  <si>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</si>
  <si>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</si>
  <si>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</si>
  <si>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</si>
  <si>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</si>
  <si>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</si>
  <si>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</si>
  <si>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</si>
  <si>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</si>
  <si>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</si>
  <si>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</si>
  <si>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</si>
  <si>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</si>
  <si>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</si>
  <si>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</si>
  <si>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</si>
  <si>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</si>
  <si>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</si>
  <si>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</si>
  <si>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</si>
  <si>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</si>
  <si>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</si>
  <si>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</si>
  <si>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</si>
  <si>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</si>
  <si>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</si>
  <si>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</si>
  <si>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</si>
  <si>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</si>
  <si>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</si>
  <si>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</si>
  <si>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</si>
  <si>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</si>
  <si>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</si>
  <si>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</si>
  <si>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</si>
  <si>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</si>
  <si>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</si>
  <si>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</si>
  <si>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</si>
  <si>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</si>
  <si>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</si>
  <si>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</si>
  <si>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</si>
  <si>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</si>
  <si>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</si>
  <si>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</si>
  <si>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</si>
  <si>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</si>
  <si>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</si>
  <si>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</si>
  <si>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</si>
  <si>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</si>
  <si>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</si>
  <si>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</si>
  <si>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</si>
  <si>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</si>
  <si>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</si>
  <si>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</si>
  <si>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</si>
  <si>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</si>
  <si>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</si>
  <si>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</si>
  <si>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</si>
  <si>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</si>
  <si>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</si>
  <si>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</si>
  <si>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</si>
  <si>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</si>
  <si>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</si>
  <si>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</si>
  <si>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</si>
  <si>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</si>
  <si>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</si>
  <si>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</si>
  <si>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</si>
  <si>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</si>
  <si>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</si>
  <si>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</si>
  <si>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</si>
  <si>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</si>
  <si>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</si>
  <si>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</si>
  <si>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</si>
  <si>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</si>
  <si>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</si>
  <si>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</si>
  <si>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</si>
  <si>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</si>
  <si>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</si>
  <si>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</si>
  <si>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</si>
  <si>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</si>
  <si>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</si>
  <si>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</si>
  <si>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</si>
  <si>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</si>
  <si>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</si>
  <si>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</si>
  <si>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</si>
  <si>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</si>
  <si>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</si>
  <si>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</si>
  <si>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</si>
  <si>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</si>
  <si>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</si>
  <si>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</si>
  <si>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</si>
  <si>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</si>
  <si>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</si>
  <si>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</si>
  <si>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</si>
  <si>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</si>
  <si>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</si>
  <si>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</si>
  <si>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</si>
  <si>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</si>
  <si>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</si>
  <si>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</si>
  <si>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</si>
  <si>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</si>
  <si>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</si>
  <si>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</si>
  <si>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</si>
  <si>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</si>
  <si>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</si>
  <si>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</si>
  <si>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</si>
  <si>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</si>
  <si>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</si>
  <si>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</si>
  <si>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</si>
  <si>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</si>
  <si>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</si>
  <si>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</si>
  <si>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</si>
  <si>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</si>
  <si>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</si>
  <si>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</si>
  <si>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</si>
  <si>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</si>
  <si>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</si>
  <si>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</si>
  <si>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</si>
  <si>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</si>
  <si>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</si>
  <si>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</si>
  <si>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</si>
  <si>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</si>
  <si>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</si>
  <si>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</si>
  <si>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</si>
  <si>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</si>
  <si>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</si>
  <si>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</si>
  <si>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</si>
  <si>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</si>
  <si>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</si>
  <si>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</si>
  <si>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</si>
  <si>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</si>
  <si>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</si>
  <si>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</si>
  <si>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</si>
  <si>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</si>
  <si>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</si>
  <si>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</si>
  <si>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</si>
  <si>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</si>
  <si>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</si>
  <si>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</si>
  <si>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</si>
  <si>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</si>
  <si>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</si>
  <si>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</si>
  <si>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</si>
  <si>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</si>
  <si>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</si>
  <si>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</si>
  <si>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</si>
  <si>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</si>
  <si>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</si>
  <si>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</si>
  <si>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</si>
  <si>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</si>
  <si>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</si>
  <si>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</si>
  <si>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</si>
  <si>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</si>
  <si>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</si>
  <si>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</si>
  <si>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</si>
  <si>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</si>
  <si>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</si>
  <si>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</si>
  <si>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</si>
  <si>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</si>
  <si>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</si>
  <si>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</si>
  <si>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</si>
  <si>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</si>
  <si>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</si>
  <si>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</si>
  <si>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</si>
  <si>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</si>
  <si>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</si>
  <si>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</si>
  <si>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</si>
  <si>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</si>
  <si>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</si>
  <si>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</si>
  <si>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</si>
  <si>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</si>
  <si>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</si>
  <si>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</si>
  <si>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</si>
  <si>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</si>
  <si>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</si>
  <si>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</si>
  <si>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</si>
  <si>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</si>
  <si>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</si>
  <si>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</si>
  <si>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</si>
  <si>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</si>
  <si>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</si>
  <si>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</si>
  <si>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</si>
  <si>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</si>
  <si>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</si>
  <si>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</si>
  <si>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</si>
  <si>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</si>
  <si>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</si>
  <si>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</si>
  <si>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</si>
  <si>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</si>
  <si>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</si>
  <si>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</si>
  <si>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</si>
  <si>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</si>
  <si>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</si>
  <si>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</si>
  <si>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</si>
  <si>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</si>
  <si>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</si>
  <si>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</si>
  <si>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</si>
  <si>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</si>
  <si>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</si>
  <si>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</si>
  <si>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</si>
  <si>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</si>
  <si>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</si>
  <si>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</si>
  <si>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</si>
  <si>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</si>
  <si>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</si>
  <si>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</si>
  <si>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</si>
  <si>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</si>
  <si>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</si>
  <si>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</si>
  <si>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</si>
  <si>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</si>
  <si>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</si>
  <si>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</si>
  <si>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</si>
  <si>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</si>
  <si>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</si>
  <si>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</si>
  <si>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</si>
  <si>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</si>
  <si>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</si>
  <si>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</si>
  <si>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</si>
  <si>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</si>
  <si>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</si>
  <si>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</si>
  <si>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</si>
  <si>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</si>
  <si>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</si>
  <si>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</si>
  <si>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</si>
  <si>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</si>
  <si>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</si>
  <si>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</si>
  <si>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</si>
  <si>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</si>
  <si>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</si>
  <si>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</si>
  <si>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</si>
  <si>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</si>
  <si>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</si>
  <si>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</si>
  <si>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</si>
  <si>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</si>
  <si>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</si>
  <si>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</si>
  <si>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</si>
  <si>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</si>
  <si>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</si>
  <si>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</si>
  <si>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</si>
  <si>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</si>
  <si>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</si>
  <si>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</si>
  <si>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</si>
  <si>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</si>
  <si>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</si>
  <si>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</si>
  <si>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</si>
  <si>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</si>
  <si>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</si>
  <si>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</si>
  <si>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</si>
  <si>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</si>
  <si>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</si>
  <si>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</si>
  <si>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</si>
  <si>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</si>
  <si>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</si>
  <si>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</si>
  <si>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</si>
  <si>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</si>
  <si>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</si>
  <si>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</si>
  <si>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</si>
  <si>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</si>
  <si>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</si>
  <si>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</si>
  <si>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</si>
  <si>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</si>
  <si>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</si>
  <si>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</si>
  <si>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</si>
  <si>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</si>
  <si>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</si>
  <si>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</si>
  <si>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</si>
  <si>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</si>
  <si>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</si>
  <si>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</si>
  <si>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</si>
  <si>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</si>
  <si>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</si>
  <si>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</si>
  <si>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</si>
  <si>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</si>
  <si>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</si>
  <si>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</si>
  <si>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</si>
  <si>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</si>
  <si>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</si>
  <si>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</si>
  <si>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</si>
  <si>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</si>
  <si>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</si>
  <si>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</si>
  <si>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</si>
  <si>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</si>
  <si>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</si>
  <si>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</si>
  <si>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</si>
  <si>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</si>
  <si>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</si>
  <si>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</si>
  <si>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</si>
  <si>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</si>
  <si>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</si>
  <si>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</si>
  <si>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</si>
  <si>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</si>
  <si>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</si>
  <si>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</si>
  <si>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</si>
  <si>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</si>
  <si>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</si>
  <si>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</si>
  <si>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</si>
  <si>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</si>
  <si>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</si>
  <si>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</si>
  <si>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</si>
  <si>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</si>
  <si>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</si>
  <si>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</si>
  <si>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</si>
  <si>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</si>
  <si>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</si>
  <si>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</si>
  <si>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</si>
  <si>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</si>
  <si>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</si>
  <si>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</si>
  <si>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</si>
  <si>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</si>
  <si>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</si>
  <si>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</si>
  <si>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</si>
  <si>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</si>
  <si>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</si>
  <si>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</si>
  <si>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</si>
  <si>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</si>
  <si>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</si>
  <si>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</si>
  <si>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</si>
  <si>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</si>
  <si>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</si>
  <si>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</si>
  <si>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</si>
  <si>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</si>
  <si>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</si>
  <si>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</si>
  <si>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</si>
  <si>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</si>
  <si>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</si>
  <si>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</si>
  <si>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</si>
  <si>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</si>
  <si>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</si>
  <si>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</si>
  <si>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</si>
  <si>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</si>
  <si>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</si>
  <si>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</si>
  <si>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</si>
  <si>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</si>
  <si>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</si>
  <si>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</si>
  <si>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</si>
  <si>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</si>
  <si>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</si>
  <si>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</si>
  <si>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</si>
  <si>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</si>
  <si>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</si>
  <si>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</si>
  <si>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</si>
  <si>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</si>
  <si>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</si>
  <si>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</si>
  <si>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</si>
  <si>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</si>
  <si>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</si>
  <si>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</si>
  <si>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</si>
  <si>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</si>
  <si>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</si>
  <si>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</si>
  <si>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</si>
  <si>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</si>
  <si>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</si>
  <si>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</si>
  <si>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</si>
  <si>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</si>
  <si>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</si>
  <si>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</si>
  <si>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</si>
  <si>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</si>
  <si>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</si>
  <si>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</si>
  <si>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</si>
  <si>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</si>
  <si>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</si>
  <si>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</si>
  <si>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</si>
  <si>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</si>
  <si>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</si>
  <si>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</si>
  <si>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</si>
  <si>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</si>
  <si>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</si>
  <si>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</si>
  <si>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</si>
  <si>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</si>
  <si>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</si>
  <si>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</si>
  <si>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</si>
  <si>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</si>
  <si>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</si>
  <si>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</si>
  <si>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</si>
  <si>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</si>
  <si>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</si>
  <si>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</si>
  <si>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</si>
  <si>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</si>
  <si>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</si>
  <si>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</si>
  <si>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</si>
  <si>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</si>
  <si>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</si>
  <si>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</si>
  <si>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</si>
  <si>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</si>
  <si>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</si>
  <si>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</si>
  <si>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</si>
  <si>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</si>
  <si>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</si>
  <si>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</si>
  <si>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</si>
  <si>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</si>
  <si>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</si>
  <si>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</si>
  <si>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</si>
  <si>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</si>
  <si>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</si>
  <si>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</si>
  <si>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</si>
  <si>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</si>
  <si>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</si>
  <si>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</si>
  <si>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</si>
  <si>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</si>
  <si>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</si>
  <si>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</si>
  <si>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</si>
  <si>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</si>
  <si>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</si>
  <si>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</si>
  <si>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</si>
  <si>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</si>
  <si>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</si>
  <si>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</si>
  <si>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</si>
  <si>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</si>
  <si>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</si>
  <si>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</si>
  <si>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</si>
  <si>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</si>
  <si>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</si>
  <si>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</si>
  <si>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</si>
  <si>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</si>
  <si>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</si>
  <si>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</si>
  <si>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</si>
  <si>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</si>
  <si>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</si>
  <si>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</si>
  <si>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</si>
  <si>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</si>
  <si>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</si>
  <si>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</si>
  <si>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</si>
  <si>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</si>
  <si>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</si>
  <si>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</si>
  <si>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</si>
  <si>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</si>
  <si>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</si>
  <si>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</si>
  <si>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</si>
  <si>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</si>
  <si>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</si>
  <si>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</si>
  <si>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</si>
  <si>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</si>
  <si>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</si>
  <si>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</si>
  <si>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</si>
  <si>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</si>
  <si>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</si>
  <si>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</si>
  <si>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</si>
  <si>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</si>
  <si>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</si>
  <si>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</si>
  <si>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</si>
  <si>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</si>
  <si>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</si>
  <si>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</si>
  <si>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</si>
  <si>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</si>
  <si>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</si>
  <si>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</si>
  <si>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</si>
  <si>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</si>
  <si>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</si>
  <si>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</si>
  <si>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</si>
  <si>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</si>
  <si>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</si>
  <si>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</si>
  <si>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</si>
  <si>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</si>
  <si>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</si>
  <si>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</si>
  <si>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</si>
  <si>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</si>
  <si>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</si>
  <si>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</si>
  <si>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</si>
  <si>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</si>
  <si>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</si>
  <si>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</si>
  <si>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</si>
  <si>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</si>
  <si>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</si>
  <si>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</si>
  <si>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</si>
  <si>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</si>
  <si>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</si>
  <si>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</si>
  <si>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</si>
  <si>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</si>
  <si>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</si>
  <si>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</si>
  <si>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</si>
  <si>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</si>
  <si>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</si>
  <si>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</si>
  <si>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</si>
  <si>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</si>
  <si>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</si>
  <si>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</si>
  <si>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</si>
  <si>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</si>
  <si>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</si>
  <si>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</si>
  <si>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</si>
  <si>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</si>
  <si>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</si>
  <si>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</si>
  <si>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</si>
  <si>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</si>
  <si>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</si>
  <si>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</si>
  <si>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</si>
  <si>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</si>
  <si>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</si>
  <si>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</si>
  <si>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</si>
  <si>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</si>
  <si>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</si>
  <si>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</si>
  <si>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</si>
  <si>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</si>
  <si>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</si>
  <si>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</si>
  <si>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</si>
  <si>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</si>
  <si>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</si>
  <si>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</si>
  <si>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</si>
  <si>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</si>
  <si>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</si>
  <si>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</si>
  <si>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</si>
  <si>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</si>
  <si>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</si>
  <si>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</si>
  <si>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</si>
  <si>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</si>
  <si>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</si>
  <si>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</si>
  <si>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</si>
  <si>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</si>
  <si>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</si>
  <si>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</si>
  <si>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</si>
  <si>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</si>
  <si>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</si>
  <si>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</si>
  <si>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</si>
  <si>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</si>
  <si>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</si>
  <si>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</si>
  <si>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</si>
  <si>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</si>
  <si>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</si>
  <si>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</si>
  <si>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</si>
  <si>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</si>
  <si>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</si>
  <si>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</si>
  <si>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</si>
  <si>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</si>
  <si>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</si>
  <si>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</si>
  <si>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</si>
  <si>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</si>
  <si>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</si>
  <si>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</si>
  <si>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</si>
  <si>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</si>
  <si>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</si>
  <si>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</si>
  <si>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</si>
  <si>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</si>
  <si>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</si>
  <si>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</si>
  <si>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</si>
  <si>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</si>
  <si>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</si>
  <si>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</si>
  <si>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</si>
  <si>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</si>
  <si>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</si>
  <si>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</si>
  <si>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</si>
  <si>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</si>
  <si>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</si>
  <si>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</si>
  <si>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</si>
  <si>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</si>
  <si>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</si>
  <si>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</si>
  <si>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</si>
  <si>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</si>
  <si>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</si>
  <si>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</si>
  <si>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</si>
  <si>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</si>
  <si>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</si>
  <si>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</si>
  <si>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</si>
  <si>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</si>
  <si>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</si>
  <si>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</si>
  <si>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</si>
  <si>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</si>
  <si>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</si>
  <si>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</si>
  <si>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</si>
  <si>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</si>
  <si>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</si>
  <si>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</si>
  <si>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</si>
  <si>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</si>
  <si>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</si>
  <si>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</si>
  <si>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</si>
  <si>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</si>
  <si>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</si>
  <si>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</si>
  <si>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</si>
  <si>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</si>
  <si>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</si>
  <si>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</si>
  <si>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</si>
  <si>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</si>
  <si>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</si>
  <si>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</si>
  <si>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</si>
  <si>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</si>
  <si>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</si>
  <si>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</si>
  <si>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</si>
  <si>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</si>
  <si>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</si>
  <si>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</si>
  <si>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</si>
  <si>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</si>
  <si>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</si>
  <si>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</si>
  <si>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</si>
  <si>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</si>
  <si>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</si>
  <si>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</si>
  <si>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</si>
  <si>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</si>
  <si>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</si>
  <si>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</si>
  <si>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</si>
  <si>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</si>
  <si>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</si>
  <si>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</si>
  <si>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</si>
  <si>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</si>
  <si>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</si>
  <si>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</si>
  <si>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</si>
  <si>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</si>
  <si>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</si>
  <si>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</si>
  <si>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</si>
  <si>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</si>
  <si>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</si>
  <si>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</si>
  <si>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</si>
  <si>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</si>
  <si>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</si>
  <si>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</si>
  <si>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</si>
  <si>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</si>
  <si>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</si>
  <si>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</si>
  <si>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</si>
  <si>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</si>
  <si>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</si>
  <si>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</si>
  <si>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</si>
  <si>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</si>
  <si>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</si>
  <si>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</si>
  <si>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</si>
  <si>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</si>
  <si>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</si>
  <si>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</si>
  <si>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</si>
  <si>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</si>
  <si>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</si>
  <si>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</si>
  <si>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</si>
  <si>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</si>
  <si>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</si>
  <si>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</si>
  <si>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</si>
  <si>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</si>
  <si>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</si>
  <si>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</si>
  <si>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</si>
  <si>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</si>
  <si>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</si>
  <si>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</si>
  <si>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</si>
  <si>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</si>
  <si>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</si>
  <si>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</si>
  <si>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</si>
  <si>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</si>
  <si>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</si>
  <si>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</si>
  <si>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</si>
  <si>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</si>
  <si>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</si>
  <si>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</si>
  <si>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</si>
  <si>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</si>
  <si>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</si>
  <si>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</si>
  <si>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</si>
  <si>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</si>
  <si>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</si>
  <si>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</si>
  <si>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</si>
  <si>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</si>
  <si>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</si>
  <si>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</si>
  <si>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</si>
  <si>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</si>
  <si>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</si>
  <si>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</si>
  <si>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</si>
  <si>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</si>
  <si>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</si>
  <si>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</si>
  <si>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</si>
  <si>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</si>
  <si>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</si>
  <si>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</si>
  <si>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</si>
  <si>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</si>
  <si>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</si>
  <si>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</si>
  <si>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</si>
  <si>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</si>
  <si>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</si>
  <si>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</si>
  <si>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</si>
  <si>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</si>
  <si>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</si>
  <si>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</si>
  <si>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</si>
  <si>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</si>
  <si>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</si>
  <si>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</si>
  <si>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</si>
  <si>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</si>
  <si>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</si>
  <si>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</si>
  <si>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</si>
  <si>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</si>
  <si>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</si>
  <si>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</si>
  <si>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</si>
  <si>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</si>
  <si>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</si>
  <si>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</si>
  <si>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</si>
  <si>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</si>
  <si>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</si>
  <si>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</si>
  <si>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</si>
  <si>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</si>
  <si>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</si>
  <si>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</si>
  <si>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</si>
  <si>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</si>
  <si>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</si>
  <si>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</si>
  <si>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</si>
  <si>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</si>
  <si>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</si>
  <si>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</si>
  <si>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</si>
  <si>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</si>
  <si>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</si>
  <si>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</si>
  <si>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</si>
  <si>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</si>
  <si>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</si>
  <si>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</si>
  <si>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</si>
  <si>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</si>
  <si>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</si>
  <si>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</si>
  <si>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</si>
  <si>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</si>
  <si>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</si>
  <si>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</si>
  <si>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</si>
  <si>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</si>
  <si>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</si>
  <si>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</si>
  <si>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</si>
  <si>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</si>
  <si>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</si>
  <si>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</si>
  <si>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</si>
  <si>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</si>
  <si>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</si>
  <si>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</si>
  <si>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</si>
  <si>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</si>
  <si>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</si>
  <si>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</si>
  <si>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</si>
  <si>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</si>
  <si>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</si>
  <si>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</si>
  <si>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</si>
  <si>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</si>
  <si>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</si>
  <si>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</si>
  <si>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</si>
  <si>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</si>
  <si>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</si>
  <si>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</si>
  <si>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</si>
  <si>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</si>
  <si>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</si>
  <si>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</si>
  <si>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</si>
  <si>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</si>
  <si>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</si>
  <si>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</si>
  <si>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</si>
  <si>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</si>
  <si>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</si>
  <si>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</si>
  <si>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</si>
  <si>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</si>
  <si>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</si>
  <si>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</si>
  <si>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</si>
  <si>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</si>
  <si>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</si>
  <si>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</si>
  <si>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</si>
  <si>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</si>
  <si>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</si>
  <si>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</si>
  <si>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</si>
  <si>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</si>
  <si>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</si>
  <si>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</si>
  <si>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</si>
  <si>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</si>
  <si>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</si>
  <si>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</si>
  <si>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</si>
  <si>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</si>
  <si>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</si>
  <si>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</si>
  <si>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</si>
  <si>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</si>
  <si>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</si>
  <si>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</si>
  <si>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</si>
  <si>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</si>
  <si>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</si>
  <si>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</si>
  <si>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</si>
  <si>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</si>
  <si>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</si>
  <si>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</si>
  <si>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</si>
  <si>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</si>
  <si>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</si>
  <si>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</si>
  <si>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</si>
  <si>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</si>
  <si>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</si>
  <si>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</si>
  <si>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</si>
  <si>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</si>
  <si>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</si>
  <si>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</si>
  <si>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</si>
  <si>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</si>
  <si>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</si>
  <si>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</si>
  <si>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</si>
  <si>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</si>
  <si>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</si>
  <si>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</si>
  <si>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</si>
  <si>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</si>
  <si>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</si>
  <si>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</si>
  <si>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</si>
  <si>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</si>
  <si>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</si>
  <si>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</si>
  <si>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</si>
  <si>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</si>
  <si>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</si>
  <si>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</si>
  <si>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</si>
  <si>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</si>
  <si>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</si>
  <si>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</si>
  <si>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</si>
  <si>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</si>
  <si>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</si>
  <si>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</si>
  <si>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</si>
  <si>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</si>
  <si>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</si>
  <si>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</si>
  <si>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</si>
  <si>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</si>
  <si>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</si>
  <si>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</si>
  <si>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</si>
  <si>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</si>
  <si>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</si>
  <si>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</si>
  <si>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</si>
  <si>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</si>
  <si>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</si>
  <si>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</si>
  <si>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</si>
  <si>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</si>
  <si>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</si>
  <si>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</si>
  <si>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</si>
  <si>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</si>
  <si>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</si>
  <si>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</si>
  <si>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</si>
  <si>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</si>
  <si>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</si>
  <si>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</si>
  <si>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</si>
  <si>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</si>
  <si>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</si>
  <si>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</si>
  <si>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</si>
  <si>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</si>
  <si>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</si>
  <si>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</si>
  <si>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</si>
  <si>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</si>
  <si>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</si>
  <si>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</si>
  <si>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</si>
  <si>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</si>
  <si>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</si>
  <si>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</si>
  <si>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</si>
  <si>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</si>
  <si>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</si>
  <si>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</si>
  <si>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</si>
  <si>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</si>
  <si>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</si>
  <si>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</si>
  <si>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</si>
  <si>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</si>
  <si>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</si>
  <si>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</si>
  <si>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</si>
  <si>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</si>
  <si>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</si>
  <si>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</si>
  <si>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</si>
  <si>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</si>
  <si>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</si>
  <si>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</si>
  <si>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</si>
  <si>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</si>
  <si>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</si>
  <si>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</si>
  <si>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</si>
  <si>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</si>
  <si>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</si>
  <si>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</si>
  <si>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</si>
  <si>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</si>
  <si>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</si>
  <si>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</si>
  <si>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</si>
  <si>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</si>
  <si>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</si>
  <si>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</si>
  <si>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</si>
  <si>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</si>
  <si>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</si>
  <si>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</si>
  <si>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</si>
  <si>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</si>
  <si>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</si>
  <si>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</si>
  <si>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</si>
  <si>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</si>
  <si>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</si>
  <si>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</si>
  <si>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</si>
  <si>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</si>
  <si>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</si>
  <si>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</si>
  <si>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</si>
  <si>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</si>
  <si>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</si>
  <si>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</si>
  <si>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</si>
  <si>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</si>
  <si>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</si>
  <si>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</si>
  <si>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</si>
  <si>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</si>
  <si>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</si>
  <si>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</si>
  <si>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</si>
  <si>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</si>
  <si>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</si>
  <si>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</si>
  <si>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</si>
  <si>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</si>
  <si>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</si>
  <si>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</si>
  <si>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</si>
  <si>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</si>
  <si>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</si>
  <si>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</si>
  <si>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</si>
  <si>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</si>
  <si>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</si>
  <si>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</si>
  <si>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</si>
  <si>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</si>
  <si>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</si>
  <si>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</si>
  <si>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</si>
  <si>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</si>
  <si>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</si>
  <si>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</si>
  <si>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</si>
  <si>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</si>
  <si>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</si>
  <si>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</si>
  <si>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</si>
  <si>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</si>
  <si>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</si>
  <si>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</si>
  <si>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</si>
  <si>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</si>
  <si>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</si>
  <si>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</si>
  <si>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</si>
  <si>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</si>
  <si>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</si>
  <si>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</si>
  <si>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</si>
  <si>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</si>
  <si>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</si>
  <si>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</si>
  <si>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</si>
  <si>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</si>
  <si>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</si>
  <si>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</si>
  <si>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</si>
  <si>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</si>
  <si>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</si>
  <si>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</si>
  <si>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</si>
  <si>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</si>
  <si>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</si>
  <si>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</si>
  <si>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</si>
  <si>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</si>
  <si>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</si>
  <si>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</si>
  <si>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</si>
  <si>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</si>
  <si>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</si>
  <si>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</si>
  <si>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</si>
  <si>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</si>
  <si>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</si>
  <si>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</si>
  <si>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</si>
  <si>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</si>
  <si>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</si>
  <si>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</si>
  <si>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</si>
  <si>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</si>
  <si>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</si>
  <si>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</si>
  <si>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</si>
  <si>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</si>
  <si>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</si>
  <si>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</si>
  <si>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</si>
  <si>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</si>
  <si>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</si>
  <si>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</si>
  <si>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</si>
  <si>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</si>
  <si>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</si>
  <si>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</si>
  <si>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</si>
  <si>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</si>
  <si>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</si>
  <si>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</si>
  <si>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</si>
  <si>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</si>
  <si>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</si>
  <si>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</si>
  <si>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</si>
  <si>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</si>
  <si>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</si>
  <si>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</si>
  <si>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</si>
  <si>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</si>
  <si>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</si>
  <si>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</si>
  <si>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</si>
  <si>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</si>
  <si>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</si>
  <si>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</si>
  <si>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</si>
  <si>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</si>
  <si>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</si>
  <si>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</si>
  <si>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</si>
  <si>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</si>
  <si>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</si>
  <si>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</si>
  <si>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</si>
  <si>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</si>
  <si>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</si>
  <si>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</si>
  <si>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</si>
  <si>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</si>
  <si>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</si>
  <si>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</si>
  <si>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</si>
  <si>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</si>
  <si>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</si>
  <si>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</si>
  <si>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</si>
  <si>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</si>
  <si>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</si>
  <si>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</si>
  <si>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</si>
  <si>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</si>
  <si>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</si>
  <si>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</si>
  <si>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</si>
  <si>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</si>
  <si>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</si>
  <si>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</si>
  <si>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</si>
  <si>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</si>
  <si>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</si>
  <si>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</si>
  <si>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</si>
  <si>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</si>
  <si>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</si>
  <si>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</si>
  <si>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</si>
  <si>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</si>
  <si>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</si>
  <si>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</si>
  <si>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</si>
  <si>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</si>
  <si>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</si>
  <si>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</si>
  <si>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</si>
  <si>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</si>
  <si>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</si>
  <si>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</si>
  <si>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</si>
  <si>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</si>
  <si>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</si>
  <si>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</si>
  <si>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</si>
  <si>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</si>
  <si>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</si>
  <si>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</si>
  <si>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</si>
  <si>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</si>
  <si>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</si>
  <si>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</si>
  <si>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</si>
  <si>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</si>
  <si>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</si>
  <si>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</si>
  <si>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</si>
  <si>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</si>
  <si>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</si>
  <si>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</si>
  <si>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</si>
  <si>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</si>
  <si>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</si>
  <si>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</si>
  <si>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</si>
  <si>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</si>
  <si>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</si>
  <si>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</si>
  <si>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</si>
  <si>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</si>
  <si>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</si>
  <si>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</si>
  <si>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</si>
  <si>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</si>
  <si>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</si>
  <si>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</si>
  <si>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</si>
  <si>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</si>
  <si>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</si>
  <si>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</si>
  <si>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</si>
  <si>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</si>
  <si>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</si>
  <si>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</si>
  <si>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</si>
  <si>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</si>
  <si>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</si>
  <si>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</si>
  <si>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</si>
  <si>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</si>
  <si>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</si>
  <si>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</si>
  <si>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</si>
  <si>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</si>
  <si>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</si>
  <si>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</si>
  <si>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</si>
  <si>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</si>
  <si>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</si>
  <si>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</si>
  <si>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</si>
  <si>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</si>
  <si>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</si>
  <si>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</si>
  <si>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</si>
  <si>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</si>
  <si>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</si>
  <si>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</si>
  <si>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</si>
  <si>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</si>
  <si>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</si>
  <si>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</si>
  <si>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</si>
  <si>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</si>
  <si>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</si>
  <si>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</si>
  <si>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</si>
  <si>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</si>
  <si>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</si>
  <si>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</si>
  <si>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</si>
  <si>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</si>
  <si>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</si>
  <si>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</si>
  <si>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</si>
  <si>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</si>
  <si>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</si>
  <si>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</si>
  <si>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</si>
  <si>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</si>
  <si>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</si>
  <si>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</si>
  <si>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</si>
  <si>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</si>
  <si>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</si>
  <si>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</si>
  <si>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</si>
  <si>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</si>
  <si>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</si>
  <si>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</si>
  <si>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</si>
  <si>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</si>
  <si>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</si>
  <si>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</si>
  <si>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</si>
  <si>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</si>
  <si>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</si>
  <si>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</si>
  <si>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</si>
  <si>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</si>
  <si>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</si>
  <si>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</si>
  <si>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</si>
  <si>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</si>
  <si>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</si>
  <si>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</si>
  <si>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</si>
  <si>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</si>
  <si>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</si>
  <si>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</si>
  <si>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</si>
  <si>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</si>
  <si>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</si>
  <si>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</si>
  <si>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</si>
  <si>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</si>
  <si>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</si>
  <si>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</si>
  <si>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</si>
  <si>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</si>
  <si>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</si>
  <si>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</si>
  <si>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</si>
  <si>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</si>
  <si>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</si>
  <si>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</si>
  <si>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</si>
  <si>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</si>
  <si>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</si>
  <si>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</si>
  <si>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</si>
  <si>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</si>
  <si>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</si>
  <si>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</si>
  <si>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</si>
  <si>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</si>
  <si>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</si>
  <si>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</si>
  <si>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</si>
  <si>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</si>
  <si>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</si>
  <si>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</si>
  <si>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</si>
  <si>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</si>
  <si>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</si>
  <si>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</si>
  <si>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</si>
  <si>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</si>
  <si>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</si>
  <si>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</si>
  <si>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</si>
  <si>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</si>
  <si>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</si>
  <si>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</si>
  <si>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</si>
  <si>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</si>
  <si>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</si>
  <si>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</si>
  <si>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</si>
  <si>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</si>
  <si>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</si>
  <si>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</si>
  <si>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</si>
  <si>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</si>
  <si>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</si>
  <si>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</si>
  <si>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</si>
  <si>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</si>
  <si>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</si>
  <si>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</si>
  <si>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</si>
  <si>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</si>
  <si>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</si>
  <si>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</si>
  <si>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</si>
  <si>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</si>
  <si>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</si>
  <si>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</si>
  <si>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</si>
  <si>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</si>
  <si>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</si>
  <si>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</si>
  <si>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</si>
  <si>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</si>
  <si>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</si>
  <si>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</si>
  <si>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</si>
  <si>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</si>
  <si>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</si>
  <si>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</si>
  <si>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</si>
  <si>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</si>
  <si>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</si>
  <si>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</si>
  <si>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</si>
  <si>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</si>
  <si>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</si>
  <si>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</si>
  <si>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</si>
  <si>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</si>
  <si>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</si>
  <si>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</si>
  <si>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</si>
  <si>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</si>
  <si>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</si>
  <si>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</si>
  <si>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</si>
  <si>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</si>
  <si>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</si>
  <si>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</si>
  <si>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</si>
  <si>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</si>
  <si>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</si>
  <si>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</si>
  <si>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</si>
  <si>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</si>
  <si>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</si>
  <si>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</si>
  <si>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</si>
  <si>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</si>
  <si>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</si>
  <si>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</si>
  <si>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</si>
  <si>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</si>
  <si>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</si>
  <si>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</si>
  <si>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</si>
  <si>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</si>
  <si>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</si>
  <si>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</si>
  <si>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</si>
  <si>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</si>
  <si>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</si>
  <si>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</si>
  <si>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</si>
  <si>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</si>
  <si>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</si>
  <si>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</si>
  <si>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</si>
  <si>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</si>
  <si>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</si>
  <si>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</si>
  <si>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</si>
  <si>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</si>
  <si>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</si>
  <si>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</si>
  <si>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</si>
  <si>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</si>
  <si>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</si>
  <si>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</si>
  <si>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</si>
  <si>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</si>
  <si>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</si>
  <si>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</si>
  <si>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</si>
  <si>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</si>
  <si>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</si>
  <si>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</si>
  <si>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</si>
  <si>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</si>
  <si>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</si>
  <si>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</si>
  <si>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</si>
  <si>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</si>
  <si>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</si>
  <si>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</si>
  <si>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</si>
  <si>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</si>
  <si>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</si>
  <si>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</si>
  <si>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</si>
  <si>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</si>
  <si>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</si>
  <si>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</si>
  <si>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</si>
  <si>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</si>
  <si>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</si>
  <si>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</si>
  <si>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</si>
  <si>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</si>
  <si>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</si>
  <si>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</si>
  <si>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</si>
  <si>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</si>
  <si>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</si>
  <si>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</si>
  <si>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</si>
  <si>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</si>
  <si>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</si>
  <si>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</si>
  <si>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</si>
  <si>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</si>
  <si>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</si>
  <si>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</si>
  <si>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</si>
  <si>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</si>
  <si>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</si>
  <si>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</si>
  <si>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</si>
  <si>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</si>
  <si>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</si>
  <si>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</si>
  <si>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</si>
  <si>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</si>
  <si>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</si>
  <si>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</si>
  <si>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</si>
  <si>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</si>
  <si>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</si>
  <si>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</si>
  <si>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</si>
  <si>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</si>
  <si>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</si>
  <si>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</si>
  <si>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</si>
  <si>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</si>
  <si>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</si>
  <si>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</si>
  <si>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</si>
  <si>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</si>
  <si>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</si>
  <si>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</si>
  <si>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</si>
  <si>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</si>
  <si>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</si>
  <si>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</si>
  <si>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</si>
  <si>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</si>
  <si>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</si>
  <si>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</si>
  <si>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</si>
  <si>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</si>
  <si>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</si>
  <si>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</si>
  <si>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</si>
  <si>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</si>
  <si>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</si>
  <si>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</si>
  <si>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</si>
  <si>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</si>
  <si>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</si>
  <si>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</si>
  <si>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</si>
  <si>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</si>
  <si>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</si>
  <si>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</si>
  <si>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</si>
  <si>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</si>
  <si>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</si>
  <si>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</si>
  <si>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</si>
  <si>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</si>
  <si>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</si>
  <si>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</si>
  <si>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</si>
  <si>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</si>
  <si>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</si>
  <si>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</si>
  <si>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</si>
  <si>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</si>
  <si>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</si>
  <si>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</si>
  <si>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</si>
  <si>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</si>
  <si>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</si>
  <si>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</si>
  <si>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</si>
  <si>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</si>
  <si>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</si>
  <si>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</si>
  <si>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</si>
  <si>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</si>
  <si>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</si>
  <si>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</si>
  <si>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</si>
  <si>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</si>
  <si>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</si>
  <si>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</si>
  <si>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</si>
  <si>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</si>
  <si>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</si>
  <si>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</si>
  <si>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</si>
  <si>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</si>
  <si>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</si>
  <si>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</si>
  <si>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</si>
  <si>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</si>
  <si>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</si>
  <si>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</si>
  <si>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</si>
  <si>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</si>
  <si>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</si>
  <si>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</si>
  <si>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</si>
  <si>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</si>
  <si>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</si>
  <si>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</si>
  <si>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</si>
  <si>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</si>
  <si>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</si>
  <si>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</si>
  <si>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</si>
  <si>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</si>
  <si>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</si>
  <si>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</si>
  <si>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</si>
  <si>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</si>
  <si>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</si>
  <si>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</si>
  <si>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</si>
  <si>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</si>
  <si>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</si>
  <si>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</si>
  <si>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</si>
  <si>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</si>
  <si>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</si>
  <si>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</si>
  <si>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</si>
  <si>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</si>
  <si>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</si>
  <si>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</si>
  <si>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</si>
  <si>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</si>
  <si>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</si>
  <si>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</si>
  <si>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</si>
  <si>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</si>
  <si>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</si>
  <si>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</si>
  <si>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</si>
  <si>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</si>
  <si>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</si>
  <si>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</si>
  <si>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</si>
  <si>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</si>
  <si>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</si>
  <si>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</si>
  <si>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</si>
  <si>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</si>
  <si>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</si>
  <si>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</si>
  <si>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</si>
  <si>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</si>
  <si>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</si>
  <si>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</si>
  <si>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</si>
  <si>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</si>
  <si>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</si>
  <si>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</si>
  <si>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</si>
  <si>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</si>
  <si>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</si>
  <si>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</si>
  <si>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</si>
  <si>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</si>
  <si>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</si>
  <si>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</si>
  <si>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</si>
  <si>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</si>
  <si>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</si>
  <si>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</si>
  <si>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</si>
  <si>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</si>
  <si>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</si>
  <si>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</si>
  <si>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</si>
  <si>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</si>
  <si>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</si>
  <si>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</si>
  <si>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</si>
  <si>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</si>
  <si>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</si>
  <si>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</si>
  <si>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</si>
  <si>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</si>
  <si>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</si>
  <si>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</si>
  <si>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</si>
  <si>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</si>
  <si>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</si>
  <si>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</si>
  <si>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</si>
  <si>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</si>
  <si>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</si>
  <si>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</si>
  <si>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</si>
  <si>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</si>
  <si>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</si>
  <si>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</si>
  <si>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</si>
  <si>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</si>
  <si>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</si>
  <si>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</si>
  <si>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</si>
  <si>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</si>
  <si>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</si>
  <si>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</si>
  <si>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</si>
  <si>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</si>
  <si>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</si>
  <si>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</si>
  <si>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</si>
  <si>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</si>
  <si>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</si>
  <si>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</si>
  <si>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</si>
  <si>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</si>
  <si>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</si>
  <si>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</si>
  <si>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</si>
  <si>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</si>
  <si>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</si>
  <si>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</si>
  <si>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</si>
  <si>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</si>
  <si>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</si>
  <si>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</si>
  <si>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</si>
  <si>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</si>
  <si>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</si>
  <si>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</si>
  <si>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</si>
  <si>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</si>
  <si>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</si>
  <si>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</si>
  <si>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</si>
  <si>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</si>
  <si>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</si>
  <si>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</si>
  <si>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</si>
  <si>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</si>
  <si>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</si>
  <si>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</si>
  <si>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</si>
  <si>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</si>
  <si>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</si>
  <si>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</si>
  <si>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</si>
  <si>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</si>
  <si>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</si>
  <si>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</si>
  <si>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</si>
  <si>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</si>
  <si>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</si>
  <si>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</si>
  <si>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</si>
  <si>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</si>
  <si>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</si>
  <si>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</si>
  <si>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</si>
  <si>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</si>
  <si>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</si>
  <si>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</si>
  <si>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</si>
  <si>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</si>
  <si>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</si>
  <si>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</si>
  <si>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</si>
  <si>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</si>
  <si>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</si>
  <si>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</si>
  <si>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</si>
  <si>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</si>
  <si>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</si>
  <si>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</si>
  <si>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</si>
  <si>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</si>
  <si>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</si>
  <si>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</si>
  <si>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</si>
  <si>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</si>
  <si>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</si>
  <si>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</si>
  <si>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</si>
  <si>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</si>
  <si>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</si>
  <si>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</si>
  <si>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</si>
  <si>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</si>
  <si>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</si>
  <si>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</si>
  <si>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</si>
  <si>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</si>
  <si>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</si>
  <si>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</si>
  <si>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</si>
  <si>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</si>
  <si>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</si>
  <si>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</si>
  <si>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</si>
  <si>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</si>
  <si>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</si>
  <si>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</si>
  <si>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</si>
  <si>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</si>
  <si>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</si>
  <si>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</si>
  <si>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</si>
  <si>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</si>
  <si>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</si>
  <si>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</si>
  <si>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</si>
  <si>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</si>
  <si>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</si>
  <si>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</si>
  <si>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</si>
  <si>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</si>
  <si>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</si>
  <si>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</si>
  <si>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</si>
  <si>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</si>
  <si>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</si>
  <si>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</si>
  <si>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</si>
  <si>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</si>
  <si>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</si>
  <si>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</si>
  <si>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</si>
  <si>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</si>
  <si>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</si>
  <si>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</si>
  <si>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</si>
  <si>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</si>
  <si>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</si>
  <si>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</si>
  <si>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</si>
  <si>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</si>
  <si>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</si>
  <si>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</si>
  <si>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</si>
  <si>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</si>
  <si>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</si>
  <si>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</si>
  <si>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</si>
  <si>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</si>
  <si>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</si>
  <si>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</si>
  <si>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</si>
  <si>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</si>
  <si>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</si>
  <si>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</si>
  <si>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</si>
  <si>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</si>
  <si>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</si>
  <si>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</si>
  <si>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</si>
  <si>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</si>
  <si>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</si>
  <si>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</si>
  <si>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</si>
  <si>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</si>
  <si>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</si>
  <si>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</si>
  <si>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</si>
  <si>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</si>
  <si>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</si>
  <si>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</si>
  <si>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</si>
  <si>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</si>
  <si>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</si>
  <si>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</si>
  <si>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</si>
  <si>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</si>
  <si>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</si>
  <si>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</si>
  <si>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</si>
  <si>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</si>
  <si>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</si>
  <si>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</si>
  <si>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</si>
  <si>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</si>
  <si>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</si>
  <si>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</si>
  <si>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</si>
  <si>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</si>
  <si>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</si>
  <si>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</si>
  <si>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</si>
  <si>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</si>
  <si>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</si>
  <si>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</si>
  <si>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</si>
  <si>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</si>
  <si>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</si>
  <si>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</si>
  <si>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</si>
  <si>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</si>
  <si>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</si>
  <si>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</si>
  <si>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</si>
  <si>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</si>
  <si>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</si>
  <si>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</si>
  <si>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</si>
  <si>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</si>
  <si>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</si>
  <si>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</si>
  <si>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</si>
  <si>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</si>
  <si>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</si>
  <si>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</si>
  <si>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</si>
  <si>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</si>
  <si>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</si>
  <si>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</si>
  <si>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</si>
  <si>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</si>
  <si>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</si>
  <si>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</si>
  <si>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</si>
  <si>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</si>
  <si>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</si>
  <si>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</si>
  <si>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</si>
  <si>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</si>
  <si>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</si>
  <si>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</si>
  <si>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</si>
  <si>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</si>
  <si>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</si>
  <si>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</si>
  <si>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</si>
  <si>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</si>
  <si>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</si>
  <si>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</si>
  <si>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</si>
  <si>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</si>
  <si>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</si>
  <si>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</si>
  <si>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</si>
  <si>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</si>
  <si>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</si>
  <si>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</si>
  <si>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</si>
  <si>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</si>
  <si>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</si>
  <si>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</si>
  <si>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</si>
  <si>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</si>
  <si>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</si>
  <si>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</si>
  <si>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</si>
  <si>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</si>
  <si>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</si>
  <si>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</si>
  <si>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</si>
  <si>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</si>
  <si>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</si>
  <si>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</si>
  <si>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</si>
  <si>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</si>
  <si>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</si>
  <si>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</si>
  <si>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</si>
  <si>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</si>
  <si>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</si>
  <si>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</si>
  <si>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</si>
  <si>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</si>
  <si>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</si>
  <si>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</si>
  <si>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</si>
  <si>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</si>
  <si>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</si>
  <si>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</si>
  <si>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</si>
  <si>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</si>
  <si>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</si>
  <si>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</si>
  <si>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</si>
  <si>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</si>
  <si>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</si>
  <si>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</si>
  <si>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</si>
  <si>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</si>
  <si>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</si>
  <si>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</si>
  <si>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</si>
  <si>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</si>
  <si>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</si>
  <si>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</si>
  <si>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</si>
  <si>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</si>
  <si>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</si>
  <si>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</si>
  <si>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</si>
  <si>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</si>
  <si>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</si>
  <si>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</si>
  <si>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</si>
  <si>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</si>
  <si>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</si>
  <si>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</si>
  <si>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</si>
  <si>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</si>
  <si>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</si>
  <si>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</si>
  <si>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</si>
  <si>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</si>
  <si>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</si>
  <si>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</si>
  <si>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</si>
  <si>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</si>
  <si>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</si>
  <si>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</si>
  <si>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</si>
  <si>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</si>
  <si>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</si>
  <si>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</si>
  <si>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</si>
  <si>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</si>
  <si>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</si>
  <si>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</si>
  <si>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</si>
  <si>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</si>
  <si>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</si>
  <si>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</si>
  <si>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</si>
  <si>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</si>
  <si>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</si>
  <si>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</si>
  <si>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</si>
  <si>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</si>
  <si>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</si>
  <si>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</si>
  <si>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</si>
  <si>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</si>
  <si>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</si>
  <si>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</si>
  <si>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</si>
  <si>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</si>
  <si>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</si>
  <si>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</si>
  <si>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</si>
  <si>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</si>
  <si>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</si>
  <si>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</si>
  <si>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</si>
  <si>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</si>
  <si>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</si>
  <si>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</si>
  <si>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</si>
  <si>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</si>
  <si>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</si>
  <si>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</si>
  <si>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</si>
  <si>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</si>
  <si>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</si>
  <si>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</si>
  <si>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</si>
  <si>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</si>
  <si>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</si>
  <si>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</si>
  <si>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</si>
  <si>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</si>
  <si>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</si>
  <si>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</si>
  <si>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</si>
  <si>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</si>
  <si>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</si>
  <si>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</si>
  <si>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</si>
  <si>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</si>
  <si>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</si>
  <si>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</si>
  <si>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</si>
  <si>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</si>
  <si>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</si>
  <si>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</si>
  <si>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</si>
  <si>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</si>
  <si>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</si>
  <si>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</si>
  <si>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</si>
  <si>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</si>
  <si>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</si>
  <si>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</si>
  <si>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</si>
  <si>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</si>
  <si>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</si>
  <si>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</si>
  <si>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</si>
  <si>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</si>
  <si>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</si>
  <si>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</si>
  <si>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</si>
  <si>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</si>
  <si>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</si>
  <si>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</si>
  <si>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</si>
  <si>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</si>
  <si>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</si>
  <si>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</si>
  <si>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</si>
  <si>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</si>
  <si>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</si>
  <si>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</si>
  <si>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</si>
  <si>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</si>
  <si>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</si>
  <si>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</si>
  <si>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</si>
  <si>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</si>
  <si>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</si>
  <si>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</si>
  <si>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</si>
  <si>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</si>
  <si>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</si>
  <si>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</si>
  <si>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</si>
  <si>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</si>
  <si>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</si>
  <si>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</si>
  <si>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</si>
  <si>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</si>
  <si>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</si>
  <si>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</si>
  <si>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</si>
  <si>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</si>
  <si>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</si>
  <si>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</si>
  <si>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</si>
  <si>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</si>
  <si>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</si>
  <si>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</si>
  <si>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</si>
  <si>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</si>
  <si>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</si>
  <si>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</si>
  <si>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</si>
  <si>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</si>
  <si>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</si>
  <si>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</si>
  <si>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</si>
  <si>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</si>
  <si>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</si>
  <si>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</si>
  <si>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</si>
  <si>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</si>
  <si>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</si>
  <si>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</si>
  <si>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</si>
  <si>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</si>
  <si>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</si>
  <si>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</si>
  <si>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</si>
  <si>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</si>
  <si>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</si>
  <si>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</si>
  <si>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</si>
  <si>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</si>
  <si>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</si>
  <si>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</si>
  <si>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</si>
  <si>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</si>
  <si>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</si>
  <si>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</si>
  <si>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</si>
  <si>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</si>
  <si>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</si>
  <si>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</si>
  <si>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</si>
  <si>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</si>
  <si>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</si>
  <si>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</si>
  <si>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</si>
  <si>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</si>
  <si>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</si>
  <si>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</si>
  <si>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</si>
  <si>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</si>
  <si>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</si>
  <si>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</si>
  <si>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</si>
  <si>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</si>
  <si>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</si>
  <si>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</si>
  <si>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</si>
  <si>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</si>
  <si>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</si>
  <si>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</si>
  <si>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</si>
  <si>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</si>
  <si>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</si>
  <si>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</si>
  <si>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</si>
  <si>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</si>
  <si>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</si>
  <si>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</si>
  <si>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</si>
  <si>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</si>
  <si>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</si>
  <si>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</si>
  <si>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</si>
  <si>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</si>
  <si>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</si>
  <si>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</si>
  <si>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</si>
  <si>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</si>
  <si>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</si>
  <si>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</si>
  <si>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</si>
  <si>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</si>
  <si>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</si>
  <si>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</si>
  <si>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</si>
  <si>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</si>
  <si>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</si>
  <si>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</si>
  <si>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</si>
  <si>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</si>
  <si>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</si>
  <si>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</si>
  <si>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</si>
  <si>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</si>
  <si>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</si>
  <si>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</si>
  <si>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</si>
  <si>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</si>
  <si>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</si>
  <si>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</si>
  <si>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</si>
  <si>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</si>
  <si>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</si>
  <si>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</si>
  <si>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</si>
  <si>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</si>
  <si>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</si>
  <si>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</si>
  <si>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</si>
  <si>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</si>
  <si>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</si>
  <si>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</si>
  <si>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</si>
  <si>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</si>
  <si>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</si>
  <si>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</si>
  <si>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</si>
  <si>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</si>
  <si>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</si>
  <si>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</si>
  <si>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</si>
  <si>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</si>
  <si>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</si>
  <si>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</si>
  <si>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</si>
  <si>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</si>
  <si>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</si>
  <si>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</si>
  <si>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</si>
  <si>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</si>
  <si>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</si>
  <si>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</si>
  <si>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</si>
  <si>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</si>
  <si>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</si>
  <si>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</si>
  <si>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</si>
  <si>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</si>
  <si>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</si>
  <si>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</si>
  <si>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</si>
  <si>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</si>
  <si>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</si>
  <si>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</si>
  <si>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</si>
  <si>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</si>
  <si>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</si>
  <si>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</si>
  <si>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</si>
  <si>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</si>
  <si>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</si>
  <si>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</si>
  <si>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</si>
  <si>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</si>
  <si>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</si>
  <si>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</si>
  <si>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</si>
  <si>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</si>
  <si>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</si>
  <si>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</si>
  <si>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</si>
  <si>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</si>
  <si>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</si>
  <si>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</si>
  <si>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</si>
  <si>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</si>
  <si>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</si>
  <si>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</si>
  <si>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</si>
  <si>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</si>
  <si>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</si>
  <si>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</si>
  <si>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</si>
  <si>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</si>
  <si>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</si>
  <si>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</si>
  <si>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</si>
  <si>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</si>
  <si>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</si>
  <si>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</si>
  <si>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</si>
  <si>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</si>
  <si>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</si>
  <si>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</si>
  <si>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</si>
  <si>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</si>
  <si>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</si>
  <si>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</si>
  <si>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</si>
  <si>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</si>
  <si>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</si>
  <si>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</si>
  <si>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</si>
  <si>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</si>
  <si>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</si>
  <si>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</si>
  <si>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</si>
  <si>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</si>
  <si>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</si>
  <si>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</si>
  <si>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</si>
  <si>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</si>
  <si>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</si>
  <si>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</si>
  <si>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</si>
  <si>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</si>
  <si>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</si>
  <si>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</si>
  <si>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</si>
  <si>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</si>
  <si>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</si>
  <si>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</si>
  <si>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</si>
  <si>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</si>
  <si>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</si>
  <si>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</si>
  <si>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</si>
  <si>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</si>
  <si>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</si>
  <si>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</si>
  <si>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</si>
  <si>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</si>
  <si>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</si>
  <si>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</si>
  <si>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</si>
  <si>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</si>
  <si>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</si>
  <si>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</si>
  <si>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</si>
  <si>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</si>
  <si>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</si>
  <si>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</si>
  <si>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</si>
  <si>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</si>
  <si>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</si>
  <si>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</si>
  <si>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</si>
  <si>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</si>
  <si>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</si>
  <si>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</si>
  <si>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</si>
  <si>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</si>
  <si>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</si>
  <si>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</si>
  <si>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</si>
  <si>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</si>
  <si>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</si>
  <si>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</si>
  <si>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</si>
  <si>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</si>
  <si>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</si>
  <si>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</si>
  <si>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</si>
  <si>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</si>
  <si>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</si>
  <si>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</si>
  <si>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</si>
  <si>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</si>
  <si>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</si>
  <si>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</si>
  <si>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</si>
  <si>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</si>
  <si>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</si>
  <si>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</si>
  <si>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</si>
  <si>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</si>
  <si>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</si>
  <si>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</si>
  <si>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</si>
  <si>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</si>
  <si>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</si>
  <si>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</si>
  <si>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</si>
  <si>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</si>
  <si>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</si>
  <si>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</si>
  <si>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</si>
  <si>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</si>
  <si>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</si>
  <si>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</si>
  <si>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</si>
  <si>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</si>
  <si>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</si>
  <si>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</si>
  <si>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</si>
  <si>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</si>
  <si>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</si>
  <si>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</si>
  <si>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</si>
  <si>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</si>
  <si>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</si>
  <si>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</si>
  <si>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</si>
  <si>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</si>
  <si>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</si>
  <si>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</si>
  <si>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</si>
  <si>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</si>
  <si>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</si>
  <si>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</si>
  <si>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</si>
  <si>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</si>
  <si>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</si>
  <si>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</si>
  <si>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</si>
  <si>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</si>
  <si>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</si>
  <si>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</si>
  <si>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</si>
  <si>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</si>
  <si>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</si>
  <si>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</si>
  <si>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</si>
  <si>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</si>
  <si>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</si>
  <si>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</si>
  <si>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</si>
  <si>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</si>
  <si>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</si>
  <si>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</si>
  <si>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</si>
  <si>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</si>
  <si>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</si>
  <si>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</si>
  <si>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</si>
  <si>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</si>
  <si>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</si>
  <si>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</si>
  <si>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</si>
  <si>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</si>
  <si>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</si>
  <si>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</si>
  <si>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</si>
  <si>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</si>
  <si>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</si>
  <si>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</si>
  <si>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</si>
  <si>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</si>
  <si>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</si>
  <si>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</si>
  <si>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</si>
  <si>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</si>
  <si>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</si>
  <si>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</si>
  <si>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</si>
  <si>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</si>
  <si>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</si>
  <si>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</si>
  <si>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</si>
  <si>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</si>
  <si>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</si>
  <si>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</si>
  <si>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</si>
  <si>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</si>
  <si>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</si>
  <si>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</si>
  <si>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</si>
  <si>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</si>
  <si>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</si>
  <si>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</si>
  <si>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</si>
  <si>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</si>
  <si>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</si>
  <si>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</si>
  <si>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</si>
  <si>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</si>
  <si>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</si>
  <si>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</si>
  <si>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</si>
  <si>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</si>
  <si>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</si>
  <si>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</si>
  <si>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</si>
  <si>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</si>
  <si>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</si>
  <si>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</si>
  <si>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</si>
  <si>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</si>
  <si>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</si>
  <si>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</si>
  <si>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</si>
  <si>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</si>
  <si>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</si>
  <si>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</si>
  <si>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</si>
  <si>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</si>
  <si>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</si>
  <si>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</si>
  <si>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</si>
  <si>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</si>
  <si>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</si>
  <si>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</si>
  <si>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</si>
  <si>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</si>
  <si>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</si>
  <si>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</si>
  <si>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</si>
  <si>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</si>
  <si>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</si>
  <si>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</si>
  <si>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</si>
  <si>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</si>
  <si>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</si>
  <si>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</si>
  <si>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</si>
  <si>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</si>
  <si>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</si>
  <si>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</si>
  <si>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</si>
  <si>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</si>
  <si>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</si>
  <si>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</si>
  <si>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</si>
  <si>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</si>
  <si>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</si>
  <si>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</si>
  <si>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</si>
  <si>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</si>
  <si>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</si>
  <si>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</si>
  <si>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</si>
  <si>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</si>
  <si>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</si>
  <si>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</si>
  <si>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</si>
  <si>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</si>
  <si>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</si>
  <si>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</si>
  <si>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</si>
  <si>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</si>
  <si>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</si>
  <si>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</si>
  <si>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</si>
  <si>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</si>
  <si>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</si>
  <si>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</si>
  <si>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</si>
  <si>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</si>
  <si>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</si>
  <si>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</si>
  <si>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</si>
  <si>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</si>
  <si>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</si>
  <si>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</si>
  <si>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</si>
  <si>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</si>
  <si>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</si>
  <si>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</si>
  <si>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</si>
  <si>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</si>
  <si>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</si>
  <si>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</si>
  <si>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</si>
  <si>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</si>
  <si>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</si>
  <si>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</si>
  <si>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</si>
  <si>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</si>
  <si>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</si>
  <si>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</si>
  <si>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</si>
  <si>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</si>
  <si>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</si>
  <si>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</si>
  <si>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</si>
  <si>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</si>
  <si>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</si>
  <si>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</si>
  <si>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</si>
  <si>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</si>
  <si>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</si>
  <si>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</si>
  <si>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</si>
  <si>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</si>
  <si>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</si>
  <si>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</si>
  <si>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</si>
  <si>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</si>
  <si>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</si>
  <si>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</si>
  <si>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</si>
  <si>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</si>
  <si>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</si>
  <si>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</si>
  <si>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</si>
  <si>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</si>
  <si>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</si>
  <si>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</si>
  <si>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</si>
  <si>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</si>
  <si>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</si>
  <si>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</si>
  <si>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</si>
  <si>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</si>
  <si>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</si>
  <si>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</si>
  <si>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</si>
  <si>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</si>
  <si>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</si>
  <si>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</si>
  <si>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</si>
  <si>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</si>
  <si>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</si>
  <si>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</si>
  <si>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</si>
  <si>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</si>
  <si>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</si>
  <si>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</si>
  <si>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</si>
  <si>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</si>
  <si>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</si>
  <si>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</si>
  <si>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</si>
  <si>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</si>
  <si>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</si>
  <si>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</si>
  <si>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</si>
  <si>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</si>
  <si>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</si>
  <si>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</si>
  <si>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</si>
  <si>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</si>
  <si>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</si>
  <si>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</si>
  <si>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</si>
  <si>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</si>
  <si>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</si>
  <si>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</si>
  <si>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</si>
  <si>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</si>
  <si>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</si>
  <si>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</si>
  <si>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</si>
  <si>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</si>
  <si>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</si>
  <si>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</si>
  <si>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</si>
  <si>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</si>
  <si>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</si>
  <si>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</si>
  <si>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</si>
  <si>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</si>
  <si>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</si>
  <si>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</si>
  <si>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</si>
  <si>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</si>
  <si>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</si>
  <si>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</si>
  <si>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</si>
  <si>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</si>
  <si>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</si>
  <si>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</si>
  <si>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</si>
  <si>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</si>
  <si>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</si>
  <si>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</si>
  <si>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</si>
  <si>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</si>
  <si>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</si>
  <si>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</si>
  <si>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</si>
  <si>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</si>
  <si>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</si>
  <si>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</si>
  <si>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</si>
  <si>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</si>
  <si>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</si>
  <si>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</si>
  <si>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</si>
  <si>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</si>
  <si>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</si>
  <si>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</si>
  <si>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</si>
  <si>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</si>
  <si>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</si>
  <si>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</si>
  <si>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</si>
  <si>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</si>
  <si>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</si>
  <si>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</si>
  <si>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</si>
  <si>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</si>
  <si>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</si>
  <si>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</si>
  <si>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</si>
  <si>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</si>
  <si>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</si>
  <si>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</si>
  <si>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</si>
  <si>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</si>
  <si>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</si>
  <si>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</si>
  <si>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</si>
  <si>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</si>
  <si>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</si>
  <si>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</si>
  <si>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</si>
  <si>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</si>
  <si>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</si>
  <si>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</si>
  <si>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</si>
  <si>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</si>
  <si>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</si>
  <si>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</si>
  <si>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</si>
  <si>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</si>
  <si>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</si>
  <si>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</si>
  <si>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</si>
  <si>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</si>
  <si>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</si>
  <si>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</si>
  <si>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</si>
  <si>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</si>
  <si>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</si>
  <si>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</si>
  <si>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</si>
  <si>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</si>
  <si>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</si>
  <si>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</si>
  <si>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</si>
  <si>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</si>
  <si>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</si>
  <si>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</si>
  <si>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</si>
  <si>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</si>
  <si>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</si>
  <si>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</si>
  <si>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</si>
  <si>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</si>
  <si>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</si>
  <si>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</si>
  <si>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</si>
  <si>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</si>
  <si>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</si>
  <si>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</si>
  <si>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</si>
  <si>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</si>
  <si>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</si>
  <si>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</si>
  <si>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</si>
  <si>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</si>
  <si>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</si>
  <si>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</si>
  <si>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</si>
  <si>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</si>
  <si>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</si>
  <si>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</si>
  <si>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</si>
  <si>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</si>
  <si>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</si>
  <si>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</si>
  <si>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</si>
  <si>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</si>
  <si>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</si>
  <si>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</si>
  <si>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</si>
  <si>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</si>
  <si>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</si>
  <si>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</si>
  <si>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</si>
  <si>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</si>
  <si>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</si>
  <si>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</si>
  <si>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</si>
  <si>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</si>
  <si>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</si>
  <si>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</si>
  <si>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</si>
  <si>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</si>
  <si>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</si>
  <si>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</si>
  <si>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</si>
  <si>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</si>
  <si>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</si>
  <si>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</si>
  <si>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</si>
  <si>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</si>
  <si>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</si>
  <si>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</si>
  <si>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</si>
  <si>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</si>
  <si>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</si>
  <si>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</si>
  <si>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</si>
  <si>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</si>
  <si>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</si>
  <si>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</si>
  <si>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</si>
  <si>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</si>
  <si>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</si>
  <si>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</si>
  <si>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</si>
  <si>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</si>
  <si>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</si>
  <si>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</si>
  <si>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</si>
  <si>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</si>
  <si>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</si>
  <si>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</si>
  <si>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</si>
  <si>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</si>
  <si>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</si>
  <si>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</si>
  <si>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</si>
  <si>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</si>
  <si>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</si>
  <si>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</si>
  <si>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</si>
  <si>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</si>
  <si>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</si>
  <si>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</si>
  <si>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</si>
  <si>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</si>
  <si>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</si>
  <si>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</si>
  <si>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</si>
  <si>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</si>
  <si>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</si>
  <si>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</si>
  <si>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</si>
  <si>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</si>
  <si>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</si>
  <si>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</si>
  <si>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</si>
  <si>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</si>
  <si>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</si>
  <si>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</si>
  <si>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</si>
  <si>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</si>
  <si>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</si>
  <si>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</si>
  <si>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</si>
  <si>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</si>
  <si>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</si>
  <si>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</si>
  <si>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</si>
  <si>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</si>
  <si>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</si>
  <si>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</si>
  <si>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</si>
  <si>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</si>
  <si>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</si>
  <si>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</si>
  <si>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</si>
  <si>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</si>
  <si>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</si>
  <si>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</si>
  <si>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</si>
  <si>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</si>
  <si>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</si>
  <si>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</si>
  <si>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</si>
  <si>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</si>
  <si>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</si>
  <si>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</si>
  <si>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</si>
  <si>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</si>
  <si>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</si>
  <si>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</si>
  <si>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</si>
  <si>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</si>
  <si>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</si>
  <si>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</si>
  <si>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</si>
  <si>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</si>
  <si>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</si>
  <si>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</si>
  <si>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</si>
  <si>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</si>
  <si>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</si>
  <si>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</si>
  <si>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</si>
  <si>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</si>
  <si>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</si>
  <si>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</si>
  <si>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</si>
  <si>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</si>
  <si>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</si>
  <si>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</si>
  <si>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</si>
  <si>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</si>
  <si>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</si>
  <si>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</si>
  <si>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</si>
  <si>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</si>
  <si>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</si>
  <si>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</si>
  <si>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</si>
  <si>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</si>
  <si>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</si>
  <si>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</si>
  <si>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</si>
  <si>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</si>
  <si>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</si>
  <si>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</si>
  <si>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</si>
  <si>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</si>
  <si>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</si>
  <si>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</si>
  <si>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</si>
  <si>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</si>
  <si>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</si>
  <si>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</si>
  <si>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</si>
  <si>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</si>
  <si>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</si>
  <si>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</si>
  <si>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</si>
  <si>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</si>
  <si>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</si>
  <si>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</si>
  <si>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</si>
  <si>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</si>
  <si>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</si>
  <si>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</si>
  <si>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</si>
  <si>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</si>
  <si>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</si>
  <si>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</si>
  <si>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</si>
  <si>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</si>
  <si>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</si>
  <si>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</si>
  <si>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</si>
  <si>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</si>
  <si>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</si>
  <si>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</si>
  <si>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</si>
  <si>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</si>
  <si>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</si>
  <si>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</si>
  <si>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</si>
  <si>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</si>
  <si>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</si>
  <si>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</si>
  <si>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</si>
  <si>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</si>
  <si>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</si>
  <si>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</si>
  <si>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</si>
  <si>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</si>
  <si>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</si>
  <si>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</si>
  <si>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</si>
  <si>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</si>
  <si>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</si>
  <si>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</si>
  <si>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</si>
  <si>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</si>
  <si>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</si>
  <si>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</si>
  <si>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</si>
  <si>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</si>
  <si>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</si>
  <si>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</si>
  <si>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</si>
  <si>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</si>
  <si>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</si>
  <si>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</si>
  <si>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</si>
  <si>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</si>
  <si>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</si>
  <si>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</si>
  <si>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</si>
  <si>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</si>
  <si>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</si>
  <si>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</si>
  <si>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</si>
  <si>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</si>
  <si>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</si>
  <si>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</si>
  <si>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</si>
  <si>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</si>
  <si>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</si>
  <si>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</si>
  <si>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</si>
  <si>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</si>
  <si>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</si>
  <si>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</si>
  <si>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</si>
  <si>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</si>
  <si>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</si>
  <si>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</si>
  <si>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</si>
  <si>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</si>
  <si>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</si>
  <si>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</si>
  <si>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</si>
  <si>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</si>
  <si>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</si>
  <si>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</si>
  <si>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</si>
  <si>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</si>
  <si>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</si>
  <si>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</si>
  <si>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</si>
  <si>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</si>
  <si>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</si>
  <si>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</si>
  <si>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</si>
  <si>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</si>
  <si>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</si>
  <si>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</si>
  <si>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</si>
  <si>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</si>
  <si>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</si>
  <si>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</si>
  <si>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</si>
  <si>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</si>
  <si>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</si>
  <si>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</si>
  <si>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</si>
  <si>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</si>
  <si>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</si>
  <si>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</si>
  <si>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</si>
  <si>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</si>
  <si>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</si>
  <si>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</si>
  <si>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</si>
  <si>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</si>
  <si>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</si>
  <si>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</si>
  <si>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</si>
  <si>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</si>
  <si>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</si>
  <si>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</si>
  <si>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</si>
  <si>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</si>
  <si>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</si>
  <si>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</si>
  <si>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</si>
  <si>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</si>
  <si>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</si>
  <si>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</si>
  <si>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</si>
  <si>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</si>
  <si>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</si>
  <si>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</si>
  <si>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</si>
  <si>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</si>
  <si>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</si>
  <si>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</si>
  <si>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</si>
  <si>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</si>
  <si>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</si>
  <si>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</si>
  <si>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</si>
  <si>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</si>
  <si>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</si>
  <si>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</si>
  <si>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</si>
  <si>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</si>
  <si>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</si>
  <si>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</si>
  <si>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</si>
  <si>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</si>
  <si>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</si>
  <si>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</si>
  <si>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</si>
  <si>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</si>
  <si>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</si>
  <si>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</si>
  <si>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</si>
  <si>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</si>
  <si>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</si>
  <si>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</si>
  <si>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</si>
  <si>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</si>
  <si>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</si>
  <si>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</si>
  <si>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</si>
  <si>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</si>
  <si>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</si>
  <si>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</si>
  <si>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</si>
  <si>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</si>
  <si>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</si>
  <si>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</si>
  <si>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</si>
  <si>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</si>
  <si>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</si>
  <si>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</si>
  <si>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</si>
  <si>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</si>
  <si>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</si>
  <si>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</si>
  <si>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</si>
  <si>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</si>
  <si>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</si>
  <si>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</si>
  <si>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</si>
  <si>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</si>
  <si>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</si>
  <si>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</si>
  <si>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</si>
  <si>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</si>
  <si>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</si>
  <si>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</si>
  <si>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</si>
  <si>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</si>
  <si>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</si>
  <si>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</si>
  <si>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</si>
  <si>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</si>
  <si>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</si>
  <si>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</si>
  <si>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</si>
  <si>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</si>
  <si>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</si>
  <si>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</si>
  <si>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</si>
  <si>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</si>
  <si>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</si>
  <si>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</si>
  <si>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</si>
  <si>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</si>
  <si>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</si>
  <si>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</si>
  <si>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</si>
  <si>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</si>
  <si>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</si>
  <si>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</si>
  <si>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</si>
  <si>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</si>
  <si>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</si>
  <si>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</si>
  <si>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</si>
  <si>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</si>
  <si>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</si>
  <si>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</si>
  <si>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</si>
  <si>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</si>
  <si>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</si>
  <si>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</si>
  <si>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</si>
  <si>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</si>
  <si>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</si>
  <si>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</si>
  <si>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</si>
  <si>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</si>
  <si>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</si>
  <si>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</si>
  <si>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</si>
  <si>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</si>
  <si>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</si>
  <si>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</si>
  <si>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</si>
  <si>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</si>
  <si>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</si>
  <si>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</si>
  <si>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</si>
  <si>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</si>
  <si>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</si>
  <si>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</si>
  <si>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</si>
  <si>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</si>
  <si>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</si>
  <si>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</si>
  <si>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</si>
  <si>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</si>
  <si>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</si>
  <si>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</si>
  <si>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</si>
  <si>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</si>
  <si>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</si>
  <si>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</si>
  <si>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</si>
  <si>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</si>
  <si>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</si>
  <si>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</si>
  <si>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</si>
  <si>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</si>
  <si>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</si>
  <si>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</si>
  <si>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</si>
  <si>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</si>
  <si>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</si>
  <si>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</si>
  <si>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</si>
  <si>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</si>
  <si>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</si>
  <si>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</si>
  <si>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</si>
  <si>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</si>
  <si>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</si>
  <si>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</si>
  <si>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</si>
  <si>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</si>
  <si>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</si>
  <si>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</si>
  <si>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</si>
  <si>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</si>
  <si>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</si>
  <si>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</si>
  <si>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</si>
  <si>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</si>
  <si>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</si>
  <si>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</si>
  <si>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</si>
  <si>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</si>
  <si>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</si>
  <si>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</si>
  <si>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</si>
  <si>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</si>
  <si>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</si>
  <si>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</si>
  <si>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</si>
  <si>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</si>
  <si>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</si>
  <si>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</si>
  <si>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</si>
  <si>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</si>
  <si>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</si>
  <si>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</si>
  <si>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</si>
  <si>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</si>
  <si>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</si>
  <si>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</si>
  <si>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</si>
  <si>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</si>
  <si>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</si>
  <si>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</si>
  <si>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</si>
  <si>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</si>
  <si>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</si>
  <si>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</si>
  <si>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</si>
  <si>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</si>
  <si>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</si>
  <si>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</si>
  <si>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</si>
  <si>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</si>
  <si>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</si>
  <si>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</si>
  <si>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</si>
  <si>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</si>
  <si>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</si>
  <si>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</si>
  <si>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</si>
  <si>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</si>
  <si>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</si>
  <si>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</si>
  <si>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</si>
  <si>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</si>
  <si>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</si>
  <si>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</si>
  <si>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</si>
  <si>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</si>
  <si>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</si>
  <si>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</si>
  <si>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</si>
  <si>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</si>
  <si>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</si>
  <si>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</si>
  <si>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</si>
  <si>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</si>
  <si>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</si>
  <si>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</si>
  <si>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</si>
  <si>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</si>
  <si>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</si>
  <si>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</si>
  <si>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</si>
  <si>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</si>
  <si>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</si>
  <si>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</si>
  <si>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</si>
  <si>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</si>
  <si>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</si>
  <si>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</si>
  <si>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</si>
  <si>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</si>
  <si>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</si>
  <si>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</si>
  <si>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</si>
  <si>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</si>
  <si>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</si>
  <si>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</si>
  <si>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</si>
  <si>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</si>
  <si>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</si>
  <si>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</si>
  <si>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</si>
  <si>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</si>
  <si>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</si>
  <si>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</si>
  <si>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</si>
  <si>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</si>
  <si>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</si>
  <si>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</si>
  <si>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</si>
  <si>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</si>
  <si>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</si>
  <si>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</si>
  <si>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</si>
  <si>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</si>
  <si>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</si>
  <si>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</si>
  <si>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</si>
  <si>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</si>
  <si>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</si>
  <si>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</si>
  <si>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</si>
  <si>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</si>
  <si>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</si>
  <si>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</si>
  <si>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</si>
  <si>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</si>
  <si>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</si>
  <si>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</si>
  <si>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</si>
  <si>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</si>
  <si>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</si>
  <si>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</si>
  <si>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</si>
  <si>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</si>
  <si>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</si>
  <si>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</si>
  <si>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</si>
  <si>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</si>
  <si>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</si>
  <si>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</si>
  <si>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</si>
  <si>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</si>
  <si>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</si>
  <si>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</si>
  <si>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</si>
  <si>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</si>
  <si>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</si>
  <si>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</si>
  <si>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</si>
  <si>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</si>
  <si>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</si>
  <si>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</si>
  <si>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</si>
  <si>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</si>
  <si>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</si>
  <si>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</si>
  <si>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</si>
  <si>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</si>
  <si>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</si>
  <si>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</si>
  <si>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</si>
  <si>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</si>
  <si>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</si>
  <si>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</si>
  <si>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</si>
  <si>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</si>
  <si>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</si>
  <si>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</si>
  <si>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</si>
  <si>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</si>
  <si>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</si>
  <si>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</si>
  <si>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</si>
  <si>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</si>
  <si>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</si>
  <si>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</si>
  <si>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</si>
  <si>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</si>
  <si>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</si>
  <si>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</si>
  <si>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</si>
  <si>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</si>
  <si>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</si>
  <si>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</si>
  <si>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</si>
  <si>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</si>
  <si>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</si>
  <si>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</si>
  <si>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</si>
  <si>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</si>
  <si>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</si>
  <si>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</si>
  <si>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</si>
  <si>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</si>
  <si>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</si>
  <si>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</si>
  <si>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</si>
  <si>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</si>
  <si>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</si>
  <si>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</si>
  <si>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</si>
  <si>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</si>
  <si>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</si>
  <si>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</si>
  <si>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</si>
  <si>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</si>
  <si>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</si>
  <si>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</si>
  <si>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</si>
  <si>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</si>
  <si>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</si>
  <si>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</si>
  <si>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</si>
  <si>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</si>
  <si>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</si>
  <si>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</si>
  <si>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</si>
  <si>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</si>
  <si>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</si>
  <si>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</si>
  <si>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</si>
  <si>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</si>
  <si>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</si>
  <si>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</si>
  <si>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</si>
  <si>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</si>
  <si>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</si>
  <si>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</si>
  <si>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</si>
  <si>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</si>
  <si>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</si>
  <si>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</si>
  <si>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</si>
  <si>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</si>
  <si>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</si>
  <si>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</si>
  <si>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</si>
  <si>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</si>
  <si>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</si>
  <si>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</si>
  <si>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</si>
  <si>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</si>
  <si>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</si>
  <si>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</si>
  <si>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</si>
  <si>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</si>
  <si>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</si>
  <si>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</si>
  <si>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</si>
  <si>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</si>
  <si>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</si>
  <si>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</si>
  <si>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</si>
  <si>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</si>
  <si>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</si>
  <si>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</si>
  <si>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</si>
  <si>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</si>
  <si>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</si>
  <si>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</si>
  <si>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</si>
  <si>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</si>
  <si>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</si>
  <si>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</si>
  <si>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</si>
  <si>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</si>
  <si>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</si>
  <si>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</si>
  <si>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</si>
  <si>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</si>
  <si>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</si>
  <si>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</si>
  <si>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</si>
  <si>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</si>
  <si>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</si>
  <si>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</si>
  <si>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</si>
  <si>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</si>
  <si>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</si>
  <si>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</si>
  <si>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</si>
  <si>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</si>
  <si>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</si>
  <si>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</si>
  <si>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</si>
  <si>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</si>
  <si>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</si>
  <si>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</si>
  <si>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</si>
  <si>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</si>
  <si>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</si>
  <si>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</si>
  <si>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</si>
  <si>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</si>
  <si>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</si>
  <si>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</si>
  <si>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</si>
  <si>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</si>
  <si>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</si>
  <si>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</si>
  <si>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</si>
  <si>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</si>
  <si>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</si>
  <si>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</si>
  <si>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</si>
  <si>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</si>
  <si>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</si>
  <si>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</si>
  <si>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</si>
  <si>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</si>
  <si>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</si>
  <si>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</si>
  <si>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</si>
  <si>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</si>
  <si>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</si>
  <si>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</si>
  <si>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</si>
  <si>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</si>
  <si>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</si>
  <si>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</si>
  <si>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</si>
  <si>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</si>
  <si>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</si>
  <si>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</si>
  <si>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</si>
  <si>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</si>
  <si>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</si>
  <si>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</si>
  <si>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</si>
  <si>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</si>
  <si>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</si>
  <si>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</si>
  <si>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</si>
  <si>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</si>
  <si>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</si>
  <si>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</si>
  <si>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</si>
  <si>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</si>
  <si>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</si>
  <si>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</si>
  <si>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</si>
  <si>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</si>
  <si>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</si>
  <si>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</si>
  <si>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</si>
  <si>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</si>
  <si>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</si>
  <si>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</si>
  <si>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</si>
  <si>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</si>
  <si>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</si>
  <si>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</si>
  <si>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</si>
  <si>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</si>
  <si>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</si>
  <si>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</si>
  <si>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</si>
  <si>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</si>
  <si>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</si>
  <si>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</si>
  <si>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</si>
  <si>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</si>
  <si>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</si>
  <si>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</si>
  <si>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</si>
  <si>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</si>
  <si>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</si>
  <si>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</si>
  <si>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</si>
  <si>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</si>
  <si>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</si>
  <si>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</si>
  <si>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</si>
  <si>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</si>
  <si>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</si>
  <si>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</si>
  <si>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</si>
  <si>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</si>
  <si>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</si>
  <si>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</si>
  <si>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</si>
  <si>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</si>
  <si>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</si>
  <si>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</si>
  <si>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</si>
  <si>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</si>
  <si>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</si>
  <si>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</si>
  <si>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</si>
  <si>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</si>
  <si>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</si>
  <si>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</si>
  <si>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</si>
  <si>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</si>
  <si>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</si>
  <si>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</si>
  <si>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</si>
  <si>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</si>
  <si>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</si>
  <si>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</si>
  <si>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</si>
  <si>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</si>
  <si>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</si>
  <si>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</si>
  <si>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</si>
  <si>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</si>
  <si>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</si>
  <si>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</si>
  <si>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</si>
  <si>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</si>
  <si>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</si>
  <si>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</si>
  <si>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</si>
  <si>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</si>
  <si>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</si>
  <si>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</si>
  <si>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</si>
  <si>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</si>
  <si>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</si>
  <si>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</si>
  <si>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</si>
  <si>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</si>
  <si>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</si>
  <si>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</si>
  <si>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</si>
  <si>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</si>
  <si>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</si>
  <si>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</si>
  <si>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</si>
  <si>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</si>
  <si>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</si>
  <si>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</si>
  <si>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</si>
  <si>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</si>
  <si>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</si>
  <si>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</si>
  <si>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</si>
  <si>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</si>
  <si>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</si>
  <si>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</si>
  <si>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</si>
  <si>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</si>
  <si>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</si>
  <si>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</si>
  <si>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</si>
  <si>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</si>
  <si>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</si>
  <si>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</si>
  <si>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</si>
  <si>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</si>
  <si>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</si>
  <si>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</si>
  <si>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</si>
  <si>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</si>
  <si>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</si>
  <si>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</si>
  <si>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</si>
  <si>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</si>
  <si>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</si>
  <si>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</si>
  <si>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</si>
  <si>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</si>
  <si>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</si>
  <si>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</si>
  <si>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</si>
  <si>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</si>
  <si>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</si>
  <si>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</si>
  <si>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</si>
  <si>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</si>
  <si>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</si>
  <si>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</si>
  <si>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</si>
  <si>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</si>
  <si>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</si>
  <si>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</si>
  <si>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</si>
  <si>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</si>
  <si>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</si>
  <si>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</si>
  <si>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</si>
  <si>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</si>
  <si>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</si>
  <si>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</si>
  <si>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</si>
  <si>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</si>
  <si>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</si>
  <si>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</si>
  <si>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</si>
  <si>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</si>
  <si>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</si>
  <si>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</si>
  <si>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</si>
  <si>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</si>
  <si>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</si>
  <si>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</si>
  <si>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</si>
  <si>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</si>
  <si>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</si>
  <si>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</si>
  <si>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</si>
  <si>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</si>
  <si>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</si>
  <si>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</si>
  <si>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</si>
  <si>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</si>
  <si>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</si>
  <si>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</si>
  <si>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</si>
  <si>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</si>
  <si>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</si>
  <si>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</si>
  <si>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</si>
  <si>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</si>
  <si>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</si>
  <si>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</si>
  <si>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</si>
  <si>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</si>
  <si>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</si>
  <si>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</si>
  <si>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</si>
  <si>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</si>
  <si>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</si>
  <si>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</si>
  <si>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</si>
  <si>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</si>
  <si>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</si>
  <si>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</si>
  <si>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</si>
  <si>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</si>
  <si>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</si>
  <si>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</si>
  <si>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</si>
  <si>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</si>
  <si>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</si>
  <si>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</si>
  <si>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</si>
  <si>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</si>
  <si>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</si>
  <si>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</si>
  <si>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</si>
  <si>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</si>
  <si>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</si>
  <si>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</si>
  <si>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</si>
  <si>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</si>
  <si>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</si>
  <si>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</si>
  <si>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</si>
  <si>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</si>
  <si>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</si>
  <si>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</si>
  <si>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</si>
  <si>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</si>
  <si>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</si>
  <si>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</si>
  <si>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</si>
  <si>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</si>
  <si>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</si>
  <si>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</si>
  <si>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</si>
  <si>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</si>
  <si>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</si>
  <si>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</si>
  <si>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</si>
  <si>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</si>
  <si>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</si>
  <si>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</si>
  <si>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</si>
  <si>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</si>
  <si>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</si>
  <si>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</si>
  <si>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</si>
  <si>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</si>
  <si>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</si>
  <si>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</si>
  <si>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</si>
  <si>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</si>
  <si>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</si>
  <si>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</si>
  <si>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</si>
  <si>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</si>
  <si>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</si>
  <si>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</si>
  <si>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</si>
  <si>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</si>
  <si>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</si>
  <si>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</si>
  <si>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</si>
  <si>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</si>
  <si>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</si>
  <si>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</si>
  <si>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</si>
  <si>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</si>
  <si>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</si>
  <si>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</si>
  <si>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</si>
  <si>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</si>
  <si>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</si>
  <si>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</si>
  <si>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</si>
  <si>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</si>
  <si>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</si>
  <si>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</si>
  <si>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</si>
  <si>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</si>
  <si>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</si>
  <si>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</si>
  <si>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</si>
  <si>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</si>
  <si>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</si>
  <si>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</si>
  <si>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</si>
  <si>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</si>
  <si>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</si>
  <si>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</si>
  <si>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</si>
  <si>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</si>
  <si>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</si>
  <si>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</si>
  <si>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</si>
  <si>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</si>
  <si>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</si>
  <si>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</si>
  <si>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</si>
  <si>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</si>
  <si>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</si>
  <si>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</si>
  <si>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</si>
  <si>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</si>
  <si>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</si>
  <si>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</si>
  <si>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</si>
  <si>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</si>
  <si>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</si>
  <si>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</si>
  <si>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</si>
  <si>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</si>
  <si>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</si>
  <si>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</si>
  <si>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</si>
  <si>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</si>
  <si>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</si>
  <si>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</si>
  <si>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</si>
  <si>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</si>
  <si>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</si>
  <si>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</si>
  <si>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</si>
  <si>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</si>
  <si>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</si>
  <si>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</si>
  <si>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</si>
  <si>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</si>
  <si>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</si>
  <si>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</si>
  <si>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</si>
  <si>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</si>
  <si>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</si>
  <si>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</si>
  <si>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</si>
  <si>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</si>
  <si>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</si>
  <si>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</si>
  <si>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</si>
  <si>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</si>
  <si>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</si>
  <si>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</si>
  <si>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</si>
  <si>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</si>
  <si>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</si>
  <si>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</si>
  <si>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</si>
  <si>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</si>
  <si>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</si>
  <si>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</si>
  <si>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</si>
  <si>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</si>
  <si>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</si>
  <si>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</si>
  <si>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</si>
  <si>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</si>
  <si>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</si>
  <si>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</si>
  <si>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</si>
  <si>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</si>
  <si>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</si>
  <si>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</si>
  <si>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</si>
  <si>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</si>
  <si>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</si>
  <si>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</si>
  <si>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</si>
  <si>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</si>
  <si>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</si>
  <si>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</si>
  <si>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</si>
  <si>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</si>
  <si>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</si>
  <si>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</si>
  <si>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</si>
  <si>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</si>
  <si>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</si>
  <si>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</si>
  <si>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</si>
  <si>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</si>
  <si>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</si>
  <si>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</si>
  <si>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</si>
  <si>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</si>
  <si>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</si>
  <si>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</si>
  <si>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</si>
  <si>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</si>
  <si>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</si>
  <si>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</si>
  <si>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</si>
  <si>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</si>
  <si>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</si>
  <si>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</si>
  <si>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</si>
  <si>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</si>
  <si>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</si>
  <si>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</si>
  <si>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</si>
  <si>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</si>
  <si>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</si>
  <si>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</si>
  <si>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</si>
  <si>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</si>
  <si>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</si>
  <si>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</si>
  <si>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</si>
  <si>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</si>
  <si>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</si>
  <si>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</si>
  <si>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</si>
  <si>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</si>
  <si>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</si>
  <si>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</si>
  <si>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</si>
  <si>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</si>
  <si>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</si>
  <si>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</si>
  <si>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</si>
  <si>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</si>
  <si>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</si>
  <si>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</si>
  <si>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</si>
  <si>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</si>
  <si>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</si>
  <si>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</si>
  <si>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</si>
  <si>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</si>
  <si>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</si>
  <si>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</si>
  <si>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</si>
  <si>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</si>
  <si>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</si>
  <si>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</si>
  <si>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</si>
  <si>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</si>
  <si>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</si>
  <si>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</si>
  <si>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</si>
  <si>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</si>
  <si>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</si>
  <si>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</si>
  <si>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</si>
  <si>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</si>
  <si>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</si>
  <si>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</si>
  <si>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</si>
  <si>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</si>
  <si>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</si>
  <si>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</si>
  <si>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</si>
  <si>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</si>
  <si>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</si>
  <si>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</si>
  <si>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</si>
  <si>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</si>
  <si>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</si>
  <si>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</si>
  <si>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</si>
  <si>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</si>
  <si>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</si>
  <si>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</si>
  <si>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</si>
  <si>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</si>
  <si>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</si>
  <si>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</si>
  <si>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</si>
  <si>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</si>
  <si>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</si>
  <si>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</si>
  <si>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</si>
  <si>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</si>
  <si>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</si>
  <si>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</si>
  <si>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</si>
  <si>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</si>
  <si>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</si>
  <si>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</si>
  <si>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</si>
  <si>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</si>
  <si>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</si>
  <si>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</si>
  <si>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</si>
  <si>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</si>
  <si>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</si>
  <si>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</si>
  <si>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</si>
  <si>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</si>
  <si>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</si>
  <si>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</si>
  <si>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</si>
  <si>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</si>
  <si>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</si>
  <si>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</si>
  <si>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</si>
  <si>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</si>
  <si>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</si>
  <si>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</si>
  <si>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</si>
  <si>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</si>
  <si>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</si>
  <si>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</si>
  <si>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</si>
  <si>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</si>
  <si>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</si>
  <si>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</si>
  <si>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</si>
  <si>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</si>
  <si>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</si>
  <si>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</si>
  <si>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</si>
  <si>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</si>
  <si>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</si>
  <si>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</si>
  <si>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</si>
  <si>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</si>
  <si>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</si>
  <si>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</si>
  <si>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</si>
  <si>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</si>
  <si>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</si>
  <si>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</si>
  <si>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</si>
  <si>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</si>
  <si>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</si>
  <si>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</si>
  <si>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</si>
  <si>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</si>
  <si>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</si>
  <si>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</si>
  <si>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</si>
  <si>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</si>
  <si>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</si>
  <si>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</si>
  <si>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</si>
  <si>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</si>
  <si>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</si>
  <si>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</si>
  <si>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</si>
  <si>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</si>
  <si>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</si>
  <si>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</si>
  <si>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</si>
  <si>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</si>
  <si>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</si>
  <si>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</si>
  <si>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</si>
  <si>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</si>
  <si>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</si>
  <si>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</si>
  <si>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</si>
  <si>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</si>
  <si>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</si>
  <si>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</si>
  <si>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</si>
  <si>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</si>
  <si>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</si>
  <si>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</si>
  <si>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</si>
  <si>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</si>
  <si>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</si>
  <si>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</si>
  <si>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</si>
  <si>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</si>
  <si>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</si>
  <si>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</si>
  <si>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</si>
  <si>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</si>
  <si>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</si>
  <si>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</si>
  <si>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</si>
  <si>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</si>
  <si>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</si>
  <si>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</si>
  <si>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</si>
  <si>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</si>
  <si>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</si>
  <si>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</si>
  <si>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</si>
  <si>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</si>
  <si>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</si>
  <si>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</si>
  <si>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</si>
  <si>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</si>
  <si>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</si>
  <si>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</si>
  <si>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</si>
  <si>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</si>
  <si>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</si>
  <si>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</si>
  <si>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</si>
  <si>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</si>
  <si>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</si>
  <si>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</si>
  <si>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</si>
  <si>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</si>
  <si>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</si>
  <si>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</si>
  <si>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</si>
  <si>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</si>
  <si>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</si>
  <si>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</si>
  <si>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</si>
  <si>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</si>
  <si>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</si>
  <si>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</si>
  <si>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</si>
  <si>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</si>
  <si>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</si>
  <si>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</si>
  <si>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</si>
  <si>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</si>
  <si>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</si>
  <si>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</si>
  <si>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</si>
  <si>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</si>
  <si>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</si>
  <si>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</si>
  <si>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</si>
  <si>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</si>
  <si>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</si>
  <si>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</si>
  <si>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</si>
  <si>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</si>
  <si>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</si>
  <si>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</si>
  <si>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</si>
  <si>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</si>
  <si>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</si>
  <si>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</si>
  <si>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</si>
  <si>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</si>
  <si>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</si>
  <si>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</si>
  <si>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</si>
  <si>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</si>
  <si>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</si>
  <si>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</si>
  <si>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</si>
  <si>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</si>
  <si>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</si>
  <si>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</si>
  <si>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</si>
  <si>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</si>
  <si>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</si>
  <si>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</si>
  <si>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</si>
  <si>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</si>
  <si>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</si>
  <si>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</si>
  <si>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</si>
  <si>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</si>
  <si>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</si>
  <si>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</si>
  <si>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</si>
  <si>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</si>
  <si>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</si>
  <si>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</si>
  <si>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</si>
  <si>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</si>
  <si>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</si>
  <si>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</si>
  <si>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</si>
  <si>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</si>
  <si>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</si>
  <si>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</si>
  <si>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</si>
  <si>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</si>
  <si>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</si>
  <si>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</si>
  <si>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</si>
  <si>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</si>
  <si>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</si>
  <si>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</si>
  <si>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</si>
  <si>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</si>
  <si>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</si>
  <si>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</si>
  <si>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</si>
  <si>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</si>
  <si>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</si>
  <si>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</si>
  <si>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</si>
  <si>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</si>
  <si>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</si>
  <si>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</si>
  <si>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</si>
  <si>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</si>
  <si>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</si>
  <si>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</si>
  <si>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</si>
  <si>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</si>
  <si>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</si>
  <si>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</si>
  <si>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</si>
  <si>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</si>
  <si>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</si>
  <si>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</si>
  <si>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</si>
  <si>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</si>
  <si>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</si>
  <si>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</si>
  <si>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</si>
  <si>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</si>
  <si>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</si>
  <si>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</si>
  <si>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</si>
  <si>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</si>
  <si>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</si>
  <si>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</si>
  <si>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</si>
  <si>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</si>
  <si>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</si>
  <si>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</si>
  <si>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</si>
  <si>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</si>
  <si>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</si>
  <si>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</si>
  <si>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</si>
  <si>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</si>
  <si>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</si>
  <si>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</si>
  <si>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</si>
  <si>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</si>
  <si>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</si>
  <si>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</si>
  <si>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</si>
  <si>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</si>
  <si>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</si>
  <si>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</si>
  <si>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</si>
  <si>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</si>
  <si>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</si>
  <si>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</si>
  <si>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</si>
  <si>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</si>
  <si>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</si>
  <si>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</si>
  <si>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</si>
  <si>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</si>
  <si>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</si>
  <si>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</si>
  <si>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</si>
  <si>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</si>
  <si>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</si>
  <si>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</si>
  <si>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</si>
  <si>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</si>
  <si>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</si>
  <si>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</si>
  <si>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</si>
  <si>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</si>
  <si>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</si>
  <si>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</si>
  <si>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</si>
  <si>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</si>
  <si>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</si>
  <si>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</si>
  <si>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</si>
  <si>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</si>
  <si>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</si>
  <si>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</si>
  <si>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</si>
  <si>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</si>
  <si>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</si>
  <si>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</si>
  <si>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</si>
  <si>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</si>
  <si>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</si>
  <si>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</si>
  <si>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</si>
  <si>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</si>
  <si>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</si>
  <si>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</si>
  <si>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</si>
  <si>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</si>
  <si>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</si>
  <si>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</si>
  <si>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</si>
  <si>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</si>
  <si>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</si>
  <si>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</si>
  <si>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</si>
  <si>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</si>
  <si>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</si>
  <si>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</si>
  <si>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</si>
  <si>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</si>
  <si>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</si>
  <si>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</si>
  <si>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</si>
  <si>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</si>
  <si>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</si>
  <si>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</si>
  <si>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</si>
  <si>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</si>
  <si>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</si>
  <si>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</si>
  <si>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</si>
  <si>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</si>
  <si>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</si>
  <si>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</si>
  <si>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</si>
  <si>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</si>
  <si>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</si>
  <si>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</si>
  <si>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</si>
  <si>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</si>
  <si>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</si>
  <si>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</si>
  <si>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</si>
  <si>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</si>
  <si>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</si>
  <si>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</si>
  <si>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</si>
  <si>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</si>
  <si>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</si>
  <si>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</si>
  <si>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</si>
  <si>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</si>
  <si>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</si>
  <si>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</si>
  <si>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</si>
  <si>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</si>
  <si>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</si>
  <si>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</si>
  <si>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</si>
  <si>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</si>
  <si>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</si>
  <si>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</si>
  <si>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</si>
  <si>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</si>
  <si>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</si>
  <si>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</si>
  <si>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</si>
  <si>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</si>
  <si>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</si>
  <si>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</si>
  <si>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</si>
  <si>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</si>
  <si>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</si>
  <si>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</si>
  <si>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</si>
  <si>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</si>
  <si>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</si>
  <si>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</si>
  <si>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</si>
  <si>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</si>
  <si>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</si>
  <si>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</si>
  <si>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</si>
  <si>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</si>
  <si>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</si>
  <si>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</si>
  <si>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</si>
  <si>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</si>
  <si>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</si>
  <si>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</si>
  <si>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</si>
  <si>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</si>
  <si>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</si>
  <si>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</si>
  <si>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</si>
  <si>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</si>
  <si>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</si>
  <si>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</si>
  <si>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</si>
  <si>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</si>
  <si>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</si>
  <si>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</si>
  <si>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</si>
  <si>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</si>
  <si>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</si>
  <si>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</si>
  <si>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</si>
  <si>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</si>
  <si>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</si>
  <si>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</si>
  <si>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</si>
  <si>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</si>
  <si>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</si>
  <si>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</si>
  <si>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</si>
  <si>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</si>
  <si>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</si>
  <si>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</si>
  <si>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</si>
  <si>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</si>
  <si>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</si>
  <si>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</si>
  <si>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</si>
  <si>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</si>
  <si>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</si>
  <si>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</si>
  <si>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</si>
  <si>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</si>
  <si>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</si>
  <si>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</si>
  <si>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</si>
  <si>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</si>
  <si>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</si>
  <si>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</si>
  <si>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</si>
  <si>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</si>
  <si>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</si>
  <si>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</si>
  <si>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</si>
  <si>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</si>
  <si>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</si>
  <si>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</si>
  <si>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</si>
  <si>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</si>
  <si>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</si>
  <si>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</si>
  <si>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</si>
  <si>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</si>
  <si>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</si>
  <si>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</si>
  <si>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</si>
  <si>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</si>
  <si>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</si>
  <si>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</si>
  <si>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</si>
  <si>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</si>
  <si>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</si>
  <si>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</si>
  <si>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</si>
  <si>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</si>
  <si>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</si>
  <si>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</si>
  <si>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</si>
  <si>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</si>
  <si>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</si>
  <si>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</si>
  <si>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</si>
  <si>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</si>
  <si>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</si>
  <si>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</si>
  <si>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</si>
  <si>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</si>
  <si>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</si>
  <si>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</si>
  <si>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</si>
  <si>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</si>
  <si>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</si>
  <si>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</si>
  <si>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</si>
  <si>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</si>
  <si>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</si>
  <si>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</si>
  <si>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</si>
  <si>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</si>
  <si>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</si>
  <si>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</si>
  <si>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</si>
  <si>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</si>
  <si>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</si>
  <si>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</si>
  <si>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</si>
  <si>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</si>
  <si>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</si>
  <si>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</si>
  <si>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</si>
  <si>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</si>
  <si>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</si>
  <si>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</si>
  <si>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</si>
  <si>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</si>
  <si>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</si>
  <si>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</si>
  <si>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</si>
  <si>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</si>
  <si>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</si>
  <si>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</si>
  <si>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</si>
  <si>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</si>
  <si>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</si>
  <si>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</si>
  <si>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</si>
  <si>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</si>
  <si>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</si>
  <si>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</si>
  <si>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</si>
  <si>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</si>
  <si>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</si>
  <si>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</si>
  <si>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</si>
  <si>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</si>
  <si>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</si>
  <si>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</si>
  <si>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</si>
  <si>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</si>
  <si>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</si>
  <si>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</si>
  <si>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</si>
  <si>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</si>
  <si>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</si>
  <si>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</si>
  <si>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</si>
  <si>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</si>
  <si>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</si>
  <si>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</si>
  <si>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</si>
  <si>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</si>
  <si>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</si>
  <si>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</si>
  <si>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</si>
  <si>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</si>
  <si>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</si>
  <si>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</si>
  <si>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</si>
  <si>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</si>
  <si>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</si>
  <si>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</si>
  <si>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</si>
  <si>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</si>
  <si>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</si>
  <si>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</si>
  <si>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</si>
  <si>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</si>
  <si>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</si>
  <si>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</si>
  <si>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</si>
  <si>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</si>
  <si>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</si>
  <si>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</si>
  <si>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</si>
  <si>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</si>
  <si>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</si>
  <si>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</si>
  <si>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</si>
  <si>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</si>
  <si>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</si>
  <si>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</si>
  <si>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</si>
  <si>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</si>
  <si>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</si>
  <si>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</si>
  <si>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</si>
  <si>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</si>
  <si>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</si>
  <si>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</si>
  <si>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</si>
  <si>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</si>
  <si>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</si>
  <si>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</si>
  <si>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</si>
  <si>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</si>
  <si>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</si>
  <si>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</si>
  <si>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</si>
  <si>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</si>
  <si>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</si>
  <si>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</si>
  <si>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</si>
  <si>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</si>
  <si>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</si>
  <si>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</si>
  <si>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</si>
  <si>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</si>
  <si>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</si>
  <si>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</si>
  <si>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</si>
  <si>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</si>
  <si>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</si>
  <si>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</si>
  <si>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</si>
  <si>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</si>
  <si>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</si>
  <si>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</si>
  <si>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</si>
  <si>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</si>
  <si>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</si>
  <si>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</si>
  <si>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</si>
  <si>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</si>
  <si>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</si>
  <si>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</si>
  <si>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</si>
  <si>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</si>
  <si>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</si>
  <si>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</si>
  <si>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</si>
  <si>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</si>
  <si>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</si>
  <si>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</si>
  <si>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</si>
  <si>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</si>
  <si>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</si>
  <si>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</si>
  <si>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</si>
  <si>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</si>
  <si>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</si>
  <si>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</si>
  <si>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</si>
  <si>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</si>
  <si>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</si>
  <si>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</si>
  <si>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</si>
  <si>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</si>
  <si>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</si>
  <si>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</si>
  <si>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</si>
  <si>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</si>
  <si>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</si>
  <si>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</si>
  <si>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</si>
  <si>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</si>
  <si>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</si>
  <si>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</si>
  <si>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</si>
  <si>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</si>
  <si>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</si>
  <si>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</si>
  <si>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</si>
  <si>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</si>
  <si>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</si>
  <si>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</si>
  <si>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</si>
  <si>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</si>
  <si>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</si>
  <si>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</si>
  <si>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</si>
  <si>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</si>
  <si>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</si>
  <si>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</si>
  <si>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</si>
  <si>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</si>
  <si>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</si>
  <si>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</si>
  <si>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</si>
  <si>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</si>
  <si>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</si>
  <si>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</si>
  <si>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</si>
  <si>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</si>
  <si>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</si>
  <si>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</si>
  <si>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</si>
  <si>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</si>
  <si>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</si>
  <si>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</si>
  <si>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</si>
  <si>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</si>
  <si>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</si>
  <si>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</si>
  <si>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</si>
  <si>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</si>
  <si>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</si>
  <si>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</si>
  <si>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</si>
  <si>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</si>
  <si>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</si>
  <si>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</si>
  <si>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</si>
  <si>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</si>
  <si>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</si>
  <si>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</si>
  <si>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</si>
  <si>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</si>
  <si>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</si>
  <si>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</si>
  <si>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</si>
  <si>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</si>
  <si>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</si>
  <si>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</si>
  <si>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</si>
  <si>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</si>
  <si>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</si>
  <si>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</si>
  <si>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</si>
  <si>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</si>
  <si>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</si>
  <si>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</si>
  <si>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</si>
  <si>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</si>
  <si>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</si>
  <si>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</si>
  <si>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</si>
  <si>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</si>
  <si>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</si>
  <si>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</si>
  <si>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</si>
  <si>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</si>
  <si>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</si>
  <si>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</si>
  <si>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</si>
  <si>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</si>
  <si>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</si>
  <si>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</si>
  <si>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</si>
  <si>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</si>
  <si>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</si>
  <si>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</si>
  <si>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</si>
  <si>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</si>
  <si>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</si>
  <si>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</si>
  <si>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</si>
  <si>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</si>
  <si>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</si>
  <si>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</si>
  <si>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</si>
  <si>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</si>
  <si>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</si>
  <si>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</si>
  <si>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</si>
  <si>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</si>
  <si>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</si>
  <si>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</si>
  <si>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</si>
  <si>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</si>
  <si>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</si>
  <si>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</si>
  <si>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</si>
  <si>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</si>
  <si>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</si>
  <si>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</si>
  <si>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</si>
  <si>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</si>
  <si>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</si>
  <si>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</si>
  <si>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</si>
  <si>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</si>
  <si>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</si>
  <si>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</si>
  <si>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</si>
  <si>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</si>
  <si>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</si>
  <si>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</si>
  <si>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</si>
  <si>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</si>
  <si>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</si>
  <si>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</si>
  <si>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</si>
  <si>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</si>
  <si>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</si>
  <si>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</si>
  <si>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</si>
  <si>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</si>
  <si>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</si>
  <si>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</si>
  <si>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</si>
  <si>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</si>
  <si>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</si>
  <si>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</si>
  <si>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</si>
  <si>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</si>
  <si>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</si>
  <si>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</si>
  <si>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</si>
  <si>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</si>
  <si>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</si>
  <si>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</si>
  <si>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</si>
  <si>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</si>
  <si>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</si>
  <si>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</si>
  <si>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</si>
  <si>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</si>
  <si>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</si>
  <si>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</si>
  <si>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</si>
  <si>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</si>
  <si>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</si>
  <si>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</si>
  <si>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</si>
  <si>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</si>
  <si>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</si>
  <si>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</si>
  <si>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</si>
  <si>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</si>
  <si>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</si>
  <si>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</si>
  <si>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</si>
  <si>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</si>
  <si>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</si>
  <si>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</si>
  <si>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</si>
  <si>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</si>
  <si>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</si>
  <si>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</si>
  <si>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</si>
  <si>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</si>
  <si>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</si>
  <si>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</si>
  <si>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</si>
  <si>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</si>
  <si>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</si>
  <si>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</si>
  <si>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</si>
  <si>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</si>
  <si>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</si>
  <si>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</si>
  <si>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</si>
  <si>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</si>
  <si>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</si>
  <si>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</si>
  <si>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</si>
  <si>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</si>
  <si>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</si>
  <si>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</si>
  <si>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</si>
  <si>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</si>
  <si>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</si>
  <si>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</si>
  <si>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</si>
  <si>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</si>
  <si>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</si>
  <si>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</si>
  <si>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</si>
  <si>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</si>
  <si>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</si>
  <si>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</si>
  <si>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</si>
  <si>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</si>
  <si>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</si>
  <si>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</si>
  <si>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</si>
  <si>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</si>
  <si>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</si>
  <si>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</si>
  <si>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</si>
  <si>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</si>
  <si>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</si>
  <si>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</si>
  <si>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</si>
  <si>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</si>
  <si>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</si>
  <si>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</si>
  <si>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</si>
  <si>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</si>
  <si>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</si>
  <si>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</si>
  <si>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</si>
  <si>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</si>
  <si>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</si>
  <si>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</si>
  <si>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</si>
  <si>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</si>
  <si>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</si>
  <si>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</si>
  <si>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</si>
  <si>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</si>
  <si>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</si>
  <si>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</si>
  <si>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</si>
  <si>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</si>
  <si>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</si>
  <si>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</si>
  <si>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</si>
  <si>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</si>
  <si>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</si>
  <si>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</si>
  <si>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</si>
  <si>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</si>
  <si>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</si>
  <si>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</si>
  <si>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</si>
  <si>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</si>
  <si>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</si>
  <si>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</si>
  <si>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</si>
  <si>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</si>
  <si>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</si>
  <si>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</si>
  <si>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</si>
  <si>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</si>
  <si>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</si>
  <si>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</si>
  <si>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</si>
  <si>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</si>
  <si>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</si>
  <si>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</si>
  <si>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</si>
  <si>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</si>
  <si>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</si>
  <si>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</si>
  <si>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</si>
  <si>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</si>
  <si>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</si>
  <si>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</si>
  <si>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</si>
  <si>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</si>
  <si>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</si>
  <si>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</si>
  <si>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</si>
  <si>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</si>
  <si>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</si>
  <si>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</si>
  <si>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</si>
  <si>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</si>
  <si>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</si>
  <si>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</si>
  <si>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</si>
  <si>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</si>
  <si>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</si>
  <si>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</si>
  <si>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</si>
  <si>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</si>
  <si>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</si>
  <si>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</si>
  <si>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</si>
  <si>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</si>
  <si>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</si>
  <si>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</si>
  <si>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</si>
  <si>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</si>
  <si>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</si>
  <si>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</si>
  <si>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</si>
  <si>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</si>
  <si>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</si>
  <si>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</si>
  <si>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</si>
  <si>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</si>
  <si>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</si>
  <si>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</si>
  <si>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</si>
  <si>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</si>
  <si>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</si>
  <si>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</si>
  <si>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</si>
  <si>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</si>
  <si>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</si>
  <si>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</si>
  <si>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</si>
  <si>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</si>
  <si>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</si>
  <si>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</si>
  <si>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</si>
  <si>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</si>
  <si>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</si>
  <si>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</si>
  <si>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</si>
  <si>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</si>
  <si>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</si>
  <si>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</si>
  <si>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</si>
  <si>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</si>
  <si>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</si>
  <si>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</si>
  <si>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</si>
  <si>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</si>
  <si>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</si>
  <si>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</si>
  <si>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</si>
  <si>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</si>
  <si>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</si>
  <si>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</si>
  <si>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</si>
  <si>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</si>
  <si>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</si>
  <si>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</si>
  <si>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</si>
  <si>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</si>
  <si>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</si>
  <si>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</si>
  <si>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</si>
  <si>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</si>
  <si>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</si>
  <si>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</si>
  <si>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</si>
  <si>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</si>
  <si>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</si>
  <si>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</si>
  <si>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</si>
  <si>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</si>
  <si>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</si>
  <si>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</si>
  <si>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</si>
  <si>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</si>
  <si>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</si>
  <si>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</si>
  <si>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</si>
  <si>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</si>
  <si>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</si>
  <si>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</si>
  <si>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</si>
  <si>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</si>
  <si>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</si>
  <si>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</si>
  <si>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</si>
  <si>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</si>
  <si>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</si>
  <si>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</si>
  <si>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</si>
  <si>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</si>
  <si>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</si>
  <si>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</si>
  <si>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</si>
  <si>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</si>
  <si>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</si>
  <si>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</si>
  <si>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</si>
  <si>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</si>
  <si>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</si>
  <si>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</si>
  <si>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</si>
  <si>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</si>
  <si>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</si>
  <si>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</si>
  <si>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</si>
  <si>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</si>
  <si>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</si>
  <si>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</si>
  <si>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</si>
  <si>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</si>
  <si>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</si>
  <si>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</si>
  <si>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</si>
  <si>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</si>
  <si>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</si>
  <si>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</si>
  <si>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</si>
  <si>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</si>
  <si>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</si>
  <si>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</si>
  <si>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</si>
  <si>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</si>
  <si>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</si>
  <si>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</si>
  <si>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</si>
  <si>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</si>
  <si>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</si>
  <si>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</si>
  <si>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</si>
  <si>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</si>
  <si>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</si>
  <si>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</si>
  <si>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</si>
  <si>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</si>
  <si>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</si>
  <si>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</si>
  <si>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</si>
  <si>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</si>
  <si>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</si>
  <si>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</si>
  <si>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</si>
  <si>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</si>
  <si>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</si>
  <si>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</si>
  <si>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</si>
  <si>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</si>
  <si>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</si>
  <si>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</si>
  <si>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</si>
  <si>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</si>
  <si>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</si>
  <si>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</si>
  <si>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</si>
  <si>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</si>
  <si>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</si>
  <si>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</si>
  <si>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</si>
  <si>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</si>
  <si>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</si>
  <si>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</si>
  <si>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</si>
  <si>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</si>
  <si>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</si>
  <si>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</si>
  <si>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</si>
  <si>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</si>
  <si>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</si>
  <si>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</si>
  <si>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</si>
  <si>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</si>
  <si>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</si>
  <si>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</si>
  <si>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</si>
  <si>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</si>
  <si>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</si>
  <si>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</si>
  <si>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</si>
  <si>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</si>
  <si>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</si>
  <si>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</si>
  <si>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</si>
  <si>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</si>
  <si>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</si>
  <si>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</si>
  <si>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</si>
  <si>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</si>
  <si>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</si>
  <si>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</si>
  <si>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</si>
  <si>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</si>
  <si>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</si>
  <si>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</si>
  <si>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</si>
  <si>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</si>
  <si>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</si>
  <si>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</si>
  <si>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</si>
  <si>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</si>
  <si>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</si>
  <si>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</si>
  <si>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</si>
  <si>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</si>
  <si>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</si>
  <si>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</si>
  <si>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</si>
  <si>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</si>
  <si>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</si>
  <si>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</si>
  <si>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</si>
  <si>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</si>
  <si>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</si>
  <si>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</si>
  <si>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</si>
  <si>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</si>
  <si>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</si>
  <si>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</si>
  <si>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</si>
  <si>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</si>
  <si>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</si>
  <si>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</si>
  <si>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</si>
  <si>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</si>
  <si>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</si>
  <si>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</si>
  <si>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</si>
  <si>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</si>
  <si>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</si>
  <si>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</si>
  <si>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</si>
  <si>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</si>
  <si>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</si>
  <si>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</si>
  <si>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</si>
  <si>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</si>
  <si>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</si>
  <si>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</si>
  <si>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</si>
  <si>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</si>
  <si>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</si>
  <si>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</si>
  <si>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</si>
  <si>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</si>
  <si>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</si>
  <si>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</si>
  <si>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</si>
  <si>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</si>
  <si>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</si>
  <si>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</si>
  <si>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</si>
  <si>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</si>
  <si>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</si>
  <si>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</si>
  <si>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</si>
  <si>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</si>
  <si>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</si>
  <si>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</si>
  <si>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</si>
  <si>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</si>
  <si>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</si>
  <si>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</si>
  <si>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</si>
  <si>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</si>
  <si>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</si>
  <si>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</si>
  <si>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</si>
  <si>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</si>
  <si>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</si>
  <si>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</si>
  <si>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</si>
  <si>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</si>
  <si>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</si>
  <si>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</si>
  <si>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</si>
  <si>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</si>
  <si>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</si>
  <si>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</si>
  <si>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</si>
  <si>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</si>
  <si>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</si>
  <si>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</si>
  <si>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</si>
  <si>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</si>
  <si>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</si>
  <si>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</si>
  <si>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</si>
  <si>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</si>
  <si>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</si>
  <si>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</si>
  <si>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</si>
  <si>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</si>
  <si>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</si>
  <si>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</si>
  <si>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</si>
  <si>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</si>
  <si>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</si>
  <si>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</si>
  <si>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</si>
  <si>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</si>
  <si>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</si>
  <si>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</si>
  <si>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</si>
  <si>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</si>
  <si>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</si>
  <si>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</si>
  <si>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</si>
  <si>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</si>
  <si>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</si>
  <si>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</si>
  <si>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</si>
  <si>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</si>
  <si>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</si>
  <si>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</si>
  <si>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</si>
  <si>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</si>
  <si>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</si>
  <si>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</si>
  <si>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</si>
  <si>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</si>
  <si>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</si>
  <si>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</si>
  <si>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</si>
  <si>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</si>
  <si>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</si>
  <si>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</si>
  <si>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</si>
  <si>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</si>
  <si>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</si>
  <si>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</si>
  <si>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</si>
  <si>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</si>
  <si>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</si>
  <si>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</si>
  <si>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</si>
  <si>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</si>
  <si>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</si>
  <si>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</si>
  <si>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</si>
  <si>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</si>
  <si>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</si>
  <si>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</si>
  <si>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</si>
  <si>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</si>
  <si>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</si>
  <si>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</si>
  <si>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</si>
  <si>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</si>
  <si>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</si>
  <si>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</si>
  <si>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</si>
  <si>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</si>
  <si>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</si>
  <si>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</si>
  <si>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</si>
  <si>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</si>
  <si>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</si>
  <si>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</si>
  <si>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</si>
  <si>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</si>
  <si>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</si>
  <si>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</si>
  <si>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</si>
  <si>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</si>
  <si>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</si>
  <si>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</si>
  <si>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</si>
  <si>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</si>
  <si>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</si>
  <si>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</si>
  <si>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</si>
  <si>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</si>
  <si>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</si>
  <si>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</si>
  <si>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</si>
  <si>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</si>
  <si>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</si>
  <si>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</si>
  <si>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</si>
  <si>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</si>
  <si>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</si>
  <si>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</si>
  <si>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</si>
  <si>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</si>
  <si>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</si>
  <si>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</si>
  <si>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</si>
  <si>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</si>
  <si>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</si>
  <si>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</si>
  <si>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</si>
  <si>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</si>
  <si>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</si>
  <si>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</si>
  <si>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</si>
  <si>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</si>
  <si>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</si>
  <si>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</si>
  <si>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</si>
  <si>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</si>
  <si>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</si>
  <si>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</si>
  <si>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</si>
  <si>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</si>
  <si>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</si>
  <si>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</si>
  <si>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</si>
  <si>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</si>
  <si>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</si>
  <si>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</si>
  <si>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</si>
  <si>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</si>
  <si>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</si>
  <si>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</si>
  <si>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</si>
  <si>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</si>
  <si>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</si>
  <si>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</si>
  <si>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</si>
  <si>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</si>
  <si>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</si>
  <si>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</si>
  <si>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</si>
  <si>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</si>
  <si>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</si>
  <si>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</si>
  <si>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</si>
  <si>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</si>
  <si>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</si>
  <si>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</si>
  <si>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</si>
  <si>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</si>
  <si>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</si>
  <si>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</si>
  <si>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</si>
  <si>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</si>
  <si>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</si>
  <si>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</si>
  <si>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</si>
  <si>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</si>
  <si>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</si>
  <si>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</si>
  <si>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</si>
  <si>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</si>
  <si>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</si>
  <si>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</si>
  <si>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</si>
  <si>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</si>
  <si>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</si>
  <si>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</si>
  <si>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</si>
  <si>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</si>
  <si>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</si>
  <si>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</si>
  <si>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</si>
  <si>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</si>
  <si>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</si>
  <si>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</si>
  <si>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</si>
  <si>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</si>
  <si>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</si>
  <si>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</si>
  <si>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</si>
  <si>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</si>
  <si>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</si>
  <si>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</si>
  <si>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</si>
  <si>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</si>
  <si>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</si>
  <si>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</si>
  <si>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</si>
  <si>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</si>
  <si>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</si>
  <si>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</si>
  <si>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</si>
  <si>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</si>
  <si>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</si>
  <si>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</si>
  <si>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</si>
  <si>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</si>
  <si>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</si>
  <si>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</si>
  <si>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</si>
  <si>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</si>
  <si>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</si>
  <si>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</si>
  <si>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</si>
  <si>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</si>
  <si>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</si>
  <si>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</si>
  <si>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</si>
  <si>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</si>
  <si>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</si>
  <si>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</si>
  <si>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</si>
  <si>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</si>
  <si>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</si>
  <si>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</si>
  <si>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</si>
  <si>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</si>
  <si>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</si>
  <si>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</si>
  <si>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</si>
  <si>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</si>
  <si>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</si>
  <si>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</si>
  <si>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</si>
  <si>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</si>
  <si>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</si>
  <si>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</si>
  <si>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</si>
  <si>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</si>
  <si>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</si>
  <si>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</si>
  <si>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</si>
  <si>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</si>
  <si>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</si>
  <si>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</si>
  <si>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</si>
  <si>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</si>
  <si>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</si>
  <si>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</si>
  <si>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</si>
  <si>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</si>
  <si>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</si>
  <si>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</si>
  <si>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</si>
  <si>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</si>
  <si>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</si>
  <si>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</si>
  <si>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</si>
  <si>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</si>
  <si>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</si>
  <si>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</si>
  <si>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</si>
  <si>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</si>
  <si>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</si>
  <si>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</si>
  <si>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</si>
  <si>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</si>
  <si>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</si>
  <si>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</si>
  <si>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</si>
  <si>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</si>
  <si>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</si>
  <si>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</si>
  <si>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</si>
  <si>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</si>
  <si>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</si>
  <si>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</si>
  <si>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</si>
  <si>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</si>
  <si>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</si>
  <si>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</si>
  <si>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</si>
  <si>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</si>
  <si>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</si>
  <si>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</si>
  <si>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</si>
  <si>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</si>
  <si>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</si>
  <si>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</si>
  <si>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</si>
  <si>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</si>
  <si>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</si>
  <si>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</si>
  <si>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</si>
  <si>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</si>
  <si>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</si>
  <si>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</si>
  <si>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</si>
  <si>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</si>
  <si>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</si>
  <si>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</si>
  <si>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</si>
  <si>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</si>
  <si>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</si>
  <si>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</si>
  <si>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</si>
  <si>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</si>
  <si>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</si>
  <si>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</si>
  <si>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</si>
  <si>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</si>
  <si>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</si>
  <si>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</si>
  <si>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</si>
  <si>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</si>
  <si>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</si>
  <si>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</si>
  <si>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</si>
  <si>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</si>
  <si>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</si>
  <si>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</si>
  <si>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</si>
  <si>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</si>
  <si>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</si>
  <si>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</si>
  <si>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</si>
  <si>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</si>
  <si>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</si>
  <si>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</si>
  <si>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</si>
  <si>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</si>
  <si>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</si>
  <si>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</si>
  <si>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</si>
  <si>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</si>
  <si>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</si>
  <si>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</si>
  <si>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</si>
  <si>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</si>
  <si>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</si>
  <si>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</si>
  <si>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</si>
  <si>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</si>
  <si>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</si>
  <si>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</si>
  <si>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</si>
  <si>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</si>
  <si>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</si>
  <si>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</si>
  <si>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</si>
  <si>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</si>
  <si>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</si>
  <si>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</si>
  <si>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</si>
  <si>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</si>
  <si>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</si>
  <si>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</si>
  <si>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</si>
  <si>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</si>
  <si>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</si>
  <si>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</si>
  <si>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</si>
  <si>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</si>
  <si>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</si>
  <si>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</si>
  <si>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</si>
  <si>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</si>
  <si>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</si>
  <si>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</si>
  <si>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</si>
  <si>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</si>
  <si>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</si>
  <si>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</si>
  <si>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</si>
  <si>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</si>
  <si>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</si>
  <si>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</si>
  <si>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</si>
  <si>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</si>
  <si>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</si>
  <si>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</si>
  <si>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</si>
  <si>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</si>
  <si>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</si>
  <si>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</si>
  <si>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</si>
  <si>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</si>
  <si>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</si>
  <si>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</si>
  <si>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</si>
  <si>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</si>
  <si>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</si>
  <si>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</si>
  <si>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</si>
  <si>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</si>
  <si>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</si>
  <si>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</si>
  <si>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</si>
  <si>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</si>
  <si>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</si>
  <si>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</si>
  <si>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</si>
  <si>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</si>
  <si>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</si>
  <si>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</si>
  <si>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</si>
  <si>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</si>
  <si>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</si>
  <si>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</si>
  <si>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</si>
  <si>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</si>
  <si>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</si>
  <si>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</si>
  <si>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</si>
  <si>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</si>
  <si>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</si>
  <si>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</si>
  <si>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</si>
  <si>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</si>
  <si>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</si>
  <si>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</si>
  <si>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</si>
  <si>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</si>
  <si>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</si>
  <si>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</si>
  <si>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</si>
  <si>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</si>
  <si>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</si>
  <si>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</si>
  <si>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</si>
  <si>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</si>
  <si>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</si>
  <si>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</si>
  <si>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</si>
  <si>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</si>
  <si>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</si>
  <si>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</si>
  <si>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</si>
  <si>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</si>
  <si>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</si>
  <si>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</si>
  <si>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</si>
  <si>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</si>
  <si>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</si>
  <si>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</si>
  <si>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</si>
  <si>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</si>
  <si>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</si>
  <si>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</si>
  <si>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</si>
  <si>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</si>
  <si>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</si>
  <si>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</si>
  <si>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</si>
  <si>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</si>
  <si>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</si>
  <si>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</si>
  <si>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</si>
  <si>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</si>
  <si>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</si>
  <si>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</si>
  <si>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</si>
  <si>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</si>
  <si>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</si>
  <si>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</si>
  <si>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</si>
  <si>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</si>
  <si>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</si>
  <si>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</si>
  <si>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</si>
  <si>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</si>
  <si>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</si>
  <si>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</si>
  <si>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</si>
  <si>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</si>
  <si>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</si>
  <si>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</si>
  <si>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</si>
  <si>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</si>
  <si>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</si>
  <si>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</si>
  <si>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</si>
  <si>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</si>
  <si>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</si>
  <si>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</si>
  <si>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</si>
  <si>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</si>
  <si>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</si>
  <si>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</si>
  <si>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</si>
  <si>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</si>
  <si>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</si>
  <si>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</si>
  <si>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</si>
  <si>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</si>
  <si>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</si>
  <si>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</si>
  <si>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</si>
  <si>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</si>
  <si>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</si>
  <si>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</si>
  <si>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</si>
  <si>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</si>
  <si>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</si>
  <si>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</si>
  <si>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</si>
  <si>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</si>
  <si>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</si>
  <si>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</si>
  <si>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</si>
  <si>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</si>
  <si>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</si>
  <si>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</si>
  <si>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</si>
  <si>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</si>
  <si>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</si>
  <si>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</si>
  <si>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</si>
  <si>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</si>
  <si>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</si>
  <si>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</si>
  <si>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</si>
  <si>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</si>
  <si>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</si>
  <si>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</si>
  <si>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</si>
  <si>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</si>
  <si>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</si>
  <si>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</si>
  <si>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</si>
  <si>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</si>
  <si>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</si>
  <si>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</si>
  <si>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</si>
  <si>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</si>
  <si>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</si>
  <si>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</si>
  <si>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</si>
  <si>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</si>
  <si>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</si>
  <si>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</si>
  <si>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</si>
  <si>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</si>
  <si>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</si>
  <si>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</si>
  <si>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</si>
  <si>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</si>
  <si>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</si>
  <si>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</si>
  <si>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</si>
  <si>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</si>
  <si>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</si>
  <si>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</si>
  <si>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</si>
  <si>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</si>
  <si>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</si>
  <si>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</si>
  <si>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</si>
  <si>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</si>
  <si>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</si>
  <si>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</si>
  <si>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</si>
  <si>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</si>
  <si>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</si>
  <si>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</si>
  <si>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</si>
  <si>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</si>
  <si>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</si>
  <si>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</si>
  <si>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</si>
  <si>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</si>
  <si>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</si>
  <si>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</si>
  <si>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</si>
  <si>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</si>
  <si>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</si>
  <si>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</si>
  <si>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</si>
  <si>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</si>
  <si>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</si>
  <si>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</si>
  <si>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</si>
  <si>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</si>
  <si>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</si>
  <si>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</si>
  <si>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</si>
  <si>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</si>
  <si>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</si>
  <si>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</si>
  <si>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</si>
  <si>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</si>
  <si>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</si>
  <si>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</si>
  <si>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</si>
  <si>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</si>
  <si>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</si>
  <si>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</si>
  <si>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</si>
  <si>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</si>
  <si>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</si>
  <si>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</si>
  <si>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</si>
  <si>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</si>
  <si>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</si>
  <si>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</si>
  <si>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</si>
  <si>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</si>
  <si>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</si>
  <si>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</si>
  <si>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</si>
  <si>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</si>
  <si>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</si>
  <si>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</si>
  <si>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</si>
  <si>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</si>
  <si>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</si>
  <si>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</si>
  <si>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</si>
  <si>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</si>
  <si>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</si>
  <si>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</si>
  <si>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</si>
  <si>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</si>
  <si>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</si>
  <si>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</si>
  <si>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</si>
  <si>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</si>
  <si>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</si>
  <si>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</si>
  <si>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</si>
  <si>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</si>
  <si>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</si>
  <si>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</si>
  <si>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</si>
  <si>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</si>
  <si>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</si>
  <si>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</si>
  <si>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</si>
  <si>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</si>
  <si>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</si>
  <si>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</si>
  <si>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</si>
  <si>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</si>
  <si>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</si>
  <si>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</si>
  <si>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</si>
  <si>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</si>
  <si>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</si>
  <si>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</si>
  <si>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</si>
  <si>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</si>
  <si>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</si>
  <si>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</si>
  <si>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</si>
  <si>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</si>
  <si>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</si>
  <si>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</si>
  <si>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</si>
  <si>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</si>
  <si>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</si>
  <si>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</si>
  <si>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</si>
  <si>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</si>
  <si>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</si>
  <si>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</si>
  <si>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</si>
  <si>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</si>
  <si>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</si>
  <si>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</si>
  <si>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</si>
  <si>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</si>
  <si>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</si>
  <si>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</si>
  <si>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</si>
  <si>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</si>
  <si>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</si>
  <si>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</si>
  <si>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</si>
  <si>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</si>
  <si>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</si>
  <si>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</si>
  <si>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</si>
  <si>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</si>
  <si>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</si>
  <si>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</si>
  <si>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</si>
  <si>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</si>
  <si>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</si>
  <si>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</si>
  <si>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</si>
  <si>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</si>
  <si>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</si>
  <si>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</si>
  <si>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</si>
  <si>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</si>
  <si>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</si>
  <si>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</si>
  <si>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</si>
  <si>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</si>
  <si>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</si>
  <si>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</si>
  <si>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</si>
  <si>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</si>
  <si>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</si>
  <si>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</si>
  <si>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</si>
  <si>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</si>
  <si>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</si>
  <si>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</si>
  <si>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</si>
  <si>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</si>
  <si>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</si>
  <si>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</si>
  <si>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</si>
  <si>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</si>
  <si>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</si>
  <si>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</si>
  <si>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</si>
  <si>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</si>
  <si>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</si>
  <si>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</si>
  <si>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</si>
  <si>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</si>
  <si>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</si>
  <si>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</si>
  <si>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</si>
  <si>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</si>
  <si>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</si>
  <si>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</si>
  <si>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</si>
  <si>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</si>
  <si>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</si>
  <si>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</si>
  <si>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</si>
  <si>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</si>
  <si>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</si>
  <si>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</si>
  <si>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</si>
  <si>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</si>
  <si>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</si>
  <si>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</si>
  <si>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</si>
  <si>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</si>
  <si>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</si>
  <si>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</si>
  <si>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</si>
  <si>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</si>
  <si>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</si>
  <si>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</si>
  <si>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</si>
  <si>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</si>
  <si>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</si>
  <si>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</si>
  <si>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</si>
  <si>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</si>
  <si>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</si>
  <si>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</si>
  <si>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</si>
  <si>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</si>
  <si>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</si>
  <si>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</si>
  <si>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</si>
  <si>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</si>
  <si>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</si>
  <si>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</si>
  <si>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</si>
  <si>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</si>
  <si>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</si>
  <si>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</si>
  <si>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</si>
  <si>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</si>
  <si>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</si>
  <si>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</si>
  <si>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</si>
  <si>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</si>
  <si>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</si>
  <si>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</si>
  <si>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</si>
  <si>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</si>
  <si>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</si>
  <si>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</si>
  <si>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</si>
  <si>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</si>
  <si>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</si>
  <si>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</si>
  <si>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</si>
  <si>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</si>
  <si>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</si>
  <si>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</si>
  <si>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</si>
  <si>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</si>
  <si>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</si>
  <si>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</si>
  <si>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</si>
  <si>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</si>
  <si>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</si>
  <si>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</si>
  <si>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</si>
  <si>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</si>
  <si>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</si>
  <si>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</si>
  <si>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</si>
  <si>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</si>
  <si>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</si>
  <si>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</si>
  <si>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</si>
  <si>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</si>
  <si>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</si>
  <si>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</si>
  <si>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</si>
  <si>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</si>
  <si>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</si>
  <si>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</si>
  <si>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</si>
  <si>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</si>
  <si>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</si>
  <si>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</si>
  <si>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</si>
  <si>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</si>
  <si>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</si>
  <si>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</si>
  <si>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</si>
  <si>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</si>
  <si>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</si>
  <si>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</si>
  <si>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</si>
  <si>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</si>
  <si>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</si>
  <si>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</si>
  <si>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</si>
  <si>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</si>
  <si>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</si>
  <si>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</si>
  <si>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</si>
  <si>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</si>
  <si>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</si>
  <si>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</si>
  <si>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</si>
  <si>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</si>
  <si>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</si>
  <si>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</si>
  <si>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</si>
  <si>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</si>
  <si>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</si>
  <si>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</si>
  <si>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</si>
  <si>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</si>
  <si>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</si>
  <si>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</si>
  <si>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</si>
  <si>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</si>
  <si>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</si>
  <si>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</si>
  <si>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</si>
  <si>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</si>
  <si>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</si>
  <si>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</si>
  <si>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</si>
  <si>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</si>
  <si>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</si>
  <si>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</si>
  <si>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</si>
  <si>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</si>
  <si>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</si>
  <si>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</si>
  <si>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</si>
  <si>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</si>
  <si>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</si>
  <si>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</si>
  <si>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</si>
  <si>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</si>
  <si>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</si>
  <si>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</si>
  <si>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</si>
  <si>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</si>
  <si>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</si>
  <si>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</si>
  <si>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</si>
  <si>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</si>
  <si>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</si>
  <si>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</si>
  <si>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</si>
  <si>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</si>
  <si>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</si>
  <si>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</si>
  <si>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</si>
  <si>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</si>
  <si>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</si>
  <si>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</si>
  <si>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</si>
  <si>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</si>
  <si>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Legen sie die Quelle der E-Mails fest:</t>
  </si>
  <si>
    <t>10:56 05.02.26</t>
  </si>
  <si>
    <t>Dashboard</t>
  </si>
  <si>
    <t>Abschlussrate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</si>
</sst>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\.mm\.yyyy"/>
    <numFmt numFmtId="165" formatCode="d\.m\.yyyy"/>
    <numFmt numFmtId="166" formatCode="mmmm\ d"/>
    <numFmt numFmtId="167" formatCode="#,##0.00\ &quot;€&quot;"/>
    <numFmt numFmtId="168" formatCode="0.0%"/>
    <numFmt numFmtId="169" formatCode="#\ ##0\ \€"/>
  </numFmts>
  <fonts count="23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1"/>
      <color rgb="FF000000"/>
      <name val="Avenir Next"/>
      <family val="2"/>
    </font>
    <font>
      <b/>
      <sz val="16"/>
      <color rgb="FF000000"/>
      <name val="Avenir Next"/>
      <family val="2"/>
    </font>
    <font>
      <b/>
      <sz val="11"/>
      <color rgb="FF000000"/>
      <name val="Avenir Next"/>
      <family val="2"/>
    </font>
    <font>
      <b/>
      <sz val="11"/>
      <color rgb="FFFFFFFF"/>
      <name val="Avenir Next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2937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9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9" fillId="0" borderId="0" xfId="0" applyFont="1"/>
    <xf numFmtId="0" fontId="20" fillId="0" borderId="0" xfId="0" applyFont="1"/>
    <xf numFmtId="168" fontId="19" fillId="0" borderId="0" xfId="0" applyNumberFormat="1" applyFont="1"/>
    <xf numFmtId="1" fontId="19" fillId="0" borderId="0" xfId="0" applyNumberFormat="1" applyFont="1"/>
    <xf numFmtId="169" fontId="19" fillId="0" borderId="0" xfId="0" applyNumberFormat="1" applyFont="1"/>
    <xf numFmtId="0" fontId="21" fillId="0" borderId="0" xfId="0" applyFont="1"/>
    <xf numFmtId="0" fontId="22" fillId="8" borderId="0" xfId="0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7">
    <dxf>
      <numFmt numFmtId="0" formatCode="General"/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6"/>
      <tableStyleElement type="headerRow" dxfId="65"/>
      <tableStyleElement type="firstRowStripe" dxfId="64"/>
      <tableStyleElement type="secondRowStripe" dxfId="63"/>
    </tableStyle>
    <tableStyle name="Stats-style 2" pivot="0" count="4" xr9:uid="{00000000-0011-0000-FFFF-FFFF01000000}">
      <tableStyleElement type="wholeTable" size="0" dxfId="62"/>
      <tableStyleElement type="headerRow" dxfId="61"/>
      <tableStyleElement type="firstRowStripe" dxfId="60"/>
      <tableStyleElement type="secondRowStripe" dxfId="59"/>
    </tableStyle>
    <tableStyle name="Stats-style 3" pivot="0" count="4" xr9:uid="{00000000-0011-0000-FFFF-FFFF02000000}">
      <tableStyleElement type="wholeTable" size="0" dxfId="58"/>
      <tableStyleElement type="headerRow" dxfId="57"/>
      <tableStyleElement type="firstRowStripe" dxfId="56"/>
      <tableStyleElement type="secondRowStripe" dxfId="55"/>
    </tableStyle>
    <tableStyle name="Stats-style 4" pivot="0" count="4" xr9:uid="{00000000-0011-0000-FFFF-FFFF03000000}">
      <tableStyleElement type="wholeTable" size="0" dxfId="54"/>
      <tableStyleElement type="headerRow" dxfId="53"/>
      <tableStyleElement type="firstRowStripe" dxfId="52"/>
      <tableStyleElement type="secondRowStripe" dxfId="51"/>
    </tableStyle>
    <tableStyle name="Stats-style 5" pivot="0" count="4" xr9:uid="{00000000-0011-0000-FFFF-FFFF04000000}">
      <tableStyleElement type="wholeTable" size="0" dxfId="50"/>
      <tableStyleElement type="headerRow" dxfId="49"/>
      <tableStyleElement type="firstRowStripe" dxfId="48"/>
      <tableStyleElement type="secondRowStripe" dxfId="47"/>
    </tableStyle>
    <tableStyle name="Stats-style 6" pivot="0" count="4" xr9:uid="{00000000-0011-0000-FFFF-FFFF05000000}">
      <tableStyleElement type="wholeTable" size="0" dxfId="46"/>
      <tableStyleElement type="headerRow" dxfId="45"/>
      <tableStyleElement type="firstRowStripe" dxfId="44"/>
      <tableStyleElement type="secondRowStripe" dxfId="43"/>
    </tableStyle>
    <tableStyle name="Stats-style 7" pivot="0" count="4" xr9:uid="{00000000-0011-0000-FFFF-FFFF06000000}">
      <tableStyleElement type="wholeTable" size="0" dxfId="42"/>
      <tableStyleElement type="headerRow" dxfId="41"/>
      <tableStyleElement type="firstRowStripe" dxfId="40"/>
      <tableStyleElement type="secondRowStripe" dxfId="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17</xdr:row>
      <xdr:rowOff>33865</xdr:rowOff>
    </xdr:from>
    <xdr:to>
      <xdr:col>4</xdr:col>
      <xdr:colOff>635001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4" y="2853265"/>
          <a:ext cx="58081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Mail)</a:t>
          </a:r>
        </a:p>
        <a:p>
          <a:r>
            <a:rPr lang="de-DE" sz="1100"/>
            <a:t>1) Felder "Name MailBox" und "Name des E‑Mail Postfaches" ausfuellen.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38" dataDxfId="37" tableBorderDxfId="36">
  <autoFilter ref="A4:S67" xr:uid="{DBDE1326-AD2B-334A-8E6B-55BB76C774E7}"/>
  <tableColumns count="19">
    <tableColumn id="1" xr3:uid="{A92F7756-79EE-0146-AFFB-86CD6FD71397}" name="Monat Lead erhalten" dataDxfId="35"/>
    <tableColumn id="2" xr3:uid="{5B9FF2F1-FDB3-444F-918F-09627F012F56}" name="Status" dataDxfId="34"/>
    <tableColumn id="3" xr3:uid="{365ED7F6-1C60-5349-9428-E91FC5A8DCF6}" name="Lead-Quelle" dataDxfId="33"/>
    <tableColumn id="4" xr3:uid="{2692E670-BB12-0E45-B62D-48FC8F0D8A96}" name="Name" dataDxfId="32"/>
    <tableColumn id="5" xr3:uid="{CB839717-944D-8A48-B3CD-0B2CA9123A76}" name="Adresse" dataDxfId="18"/>
    <tableColumn id="6" xr3:uid="{BFFF1F87-0C0C-BE46-808F-3AA4DC4957D6}" name="PLZ" dataDxfId="19"/>
    <tableColumn id="7" xr3:uid="{B7C7EDFF-4F7F-1D45-AC5D-3BB90ABEF2F8}" name="Ort" dataDxfId="17">
      <calculatedColumnFormula>IFERROR(VLOOKUP(Kundenliste[[#This Row],[PLZ]],PLZ[],2,0),"")</calculatedColumnFormula>
    </tableColumn>
    <tableColumn id="8" xr3:uid="{E7760CB8-FFA4-BD40-A1E5-FA188F8E5F8F}" name="Telefonnummer" dataDxfId="16"/>
    <tableColumn id="9" xr3:uid="{9FCAE85B-421F-BD43-AC3E-F3237B5E7636}" name="PG" dataDxfId="20"/>
    <tableColumn id="10" xr3:uid="{8F6A6D8A-D9F8-0744-BAE9-1D603436C155}" name="Letzter Kontakt" dataDxfId="31"/>
    <tableColumn id="11" xr3:uid="{A2045C30-1195-C943-9842-F1EEA9F34438}" name="Nächster Kontakt" dataDxfId="30"/>
    <tableColumn id="12" xr3:uid="{BE31FF99-12EB-6340-9156-6D94B1B7BE94}" name="Notizen" dataDxfId="29"/>
    <tableColumn id="13" xr3:uid="{FFBFAA09-C96E-314F-A5B9-FE2BD7219F4A}" name="Abschluss" dataDxfId="28"/>
    <tableColumn id="14" xr3:uid="{B9F9ADBB-B5B1-B647-8307-75AE3D1353A4}" name="Abgesprungen nach" dataDxfId="27"/>
    <tableColumn id="15" xr3:uid="{90B24919-0D98-3647-ABDB-A0B14C181ED5}" name="Grund zum Absprung" dataDxfId="26"/>
    <tableColumn id="16" xr3:uid="{267654FA-B2E0-734B-AB97-DD03C87654F6}" name="Learning" dataDxfId="25"/>
    <tableColumn id="17" xr3:uid="{A70C44F0-D6C5-6344-A9CF-C1E02B1DFE3D}" name="Reklamierung Verbund:" dataDxfId="24"/>
    <tableColumn id="18" xr3:uid="{824EBA94-D625-2D4A-B97B-11B1F32437CE}" name="Spend" dataDxfId="23"/>
    <tableColumn id="19" xr3:uid="{A4FDE41C-A509-264E-A5C5-C323A23EE97A}" name="Leadtyp" dataDxfId="22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21">
      <calculatedColumnFormula>SUM(B8:G8)</calculatedColumnFormula>
    </tableColumn>
  </tableColumns>
  <tableStyleInfo name="Stats-style 2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SUM(B18:F18)</calculatedColumnFormula>
    </tableColumn>
  </tableColumns>
  <tableStyleInfo name="Stats-style 5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ROUND(COUNTIFS(Pipeline!C5:C683,"Verbund Pflegehilfe",Pipeline!Q5:Q683,"JA") / COUNTIF(Pipeline!C5:C683,"Verbund Pflegehilfe") * 100,1) &amp; "%"</calculatedColumnFormula>
    </tableColumn>
  </tableColumns>
  <tableStyleInfo name="Stats-style 6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77"/>
  <sheetViews>
    <sheetView showGridLines="0" zoomScale="120" zoomScaleNormal="120" workbookViewId="0">
      <pane xSplit="4" ySplit="4" topLeftCell="E30" activePane="bottomRight" state="frozen"/>
      <selection pane="topRight" activeCell="E1" sqref="E1"/>
      <selection pane="bottomLeft" activeCell="A2" sqref="A2"/>
      <selection pane="bottomRight" activeCell="B4" sqref="B4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58.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7092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0" t="s">
        <v>5</v>
      </c>
      <c r="G4" s="60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57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58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57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57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57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58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57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57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57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57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57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57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57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57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57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57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57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57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57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57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58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57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57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57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57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57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57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57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58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57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57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57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57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57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57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57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57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57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57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57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57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57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57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57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57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57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57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57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57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57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57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57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57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57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57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57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57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57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58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57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57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58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57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24"/>
      <c r="B68" s="25"/>
      <c r="C68" s="25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B69" s="25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B70" s="25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B71" s="25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B72" s="25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B73" s="25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B74" s="25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B75" s="25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B76" s="25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B77" s="25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B78" s="25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B79" s="25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25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25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25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</sheetData>
  <conditionalFormatting sqref="A5:S67">
    <cfRule type="expression" dxfId="15" priority="10" stopIfTrue="1">
      <formula>AND($K5&lt;&gt;"", $K5=TODAY())</formula>
    </cfRule>
    <cfRule type="expression" dxfId="14" priority="11">
      <formula>AND($K5&lt;&gt;"", $K5&lt;TODAY()-7)</formula>
    </cfRule>
    <cfRule type="expression" dxfId="13" priority="12" stopIfTrue="1">
      <formula>AND($K5&lt;&gt;"", $K5&lt;TODAY(), $L5&gt;=TODAY()-7)</formula>
    </cfRule>
  </conditionalFormatting>
  <conditionalFormatting sqref="M54">
    <cfRule type="expression" dxfId="12" priority="15">
      <formula>AND($K60&lt;&gt;"", $K60&lt;TODAY()-7)</formula>
    </cfRule>
    <cfRule type="expression" dxfId="11" priority="16">
      <formula>AND($K60&lt;&gt;"", $K60&lt;TODAY(), $L60&gt;=TODAY()-7)</formula>
    </cfRule>
    <cfRule type="expression" dxfId="10" priority="18">
      <formula>AND($K60&lt;&gt;"", $K60=TODAY())</formula>
    </cfRule>
  </conditionalFormatting>
  <conditionalFormatting sqref="M60">
    <cfRule type="expression" dxfId="9" priority="1">
      <formula>AND($K66&lt;&gt;"", $K66&lt;TODAY()-7)</formula>
    </cfRule>
    <cfRule type="expression" dxfId="8" priority="2">
      <formula>AND($K66&lt;&gt;"", $K66&lt;TODAY(), $L66&gt;=TODAY()-7)</formula>
    </cfRule>
    <cfRule type="expression" dxfId="7" priority="3">
      <formula>AND($K66&lt;&gt;"", $K66=TODAY())</formula>
    </cfRule>
  </conditionalFormatting>
  <conditionalFormatting sqref="T67:Y67">
    <cfRule type="expression" dxfId="6" priority="23">
      <formula>AND($K67&lt;&gt;"", $K67&lt;TODAY()-7)</formula>
    </cfRule>
    <cfRule type="expression" dxfId="5" priority="24">
      <formula>AND($K67&lt;&gt;"", $K67&lt;TODAY(), $L67&gt;=TODAY()-7)</formula>
    </cfRule>
  </conditionalFormatting>
  <conditionalFormatting sqref="T67:Y67">
    <cfRule type="expression" dxfId="4" priority="35">
      <formula>AND($K67&lt;&gt;"", $K67=TODAY())</formula>
    </cfRule>
  </conditionalFormatting>
  <conditionalFormatting sqref="T68:Y299">
    <cfRule type="expression" dxfId="3" priority="41">
      <formula>AND($K445&lt;&gt;"", $K445&lt;TODAY()-7)</formula>
    </cfRule>
    <cfRule type="expression" dxfId="2" priority="42">
      <formula>AND($K445&lt;&gt;"", $K445&lt;TODAY(), $L445&gt;=TODAY()-7)</formula>
    </cfRule>
  </conditionalFormatting>
  <conditionalFormatting sqref="T68:Y300">
    <cfRule type="expression" dxfId="1" priority="44">
      <formula>AND($K445&lt;&gt;"", $K445=TODAY())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A1:I60"/>
  <sheetViews>
    <sheetView tabSelected="1" workbookViewId="0">
      <selection activeCell="G25" sqref="G25"/>
    </sheetView>
  </sheetViews>
  <sheetFormatPr baseColWidth="10" defaultRowHeight="13" x14ac:dyDescent="0.15"/>
  <cols>
    <col min="1" max="1" width="19.5" bestFit="1" customWidth="1"/>
    <col min="2" max="2" width="9.6640625" bestFit="1" customWidth="1"/>
    <col min="3" max="3" width="14.6640625" bestFit="1" customWidth="1"/>
    <col min="4" max="4" width="12.1640625" bestFit="1" customWidth="1"/>
    <col min="5" max="5" width="9.83203125" bestFit="1" customWidth="1"/>
    <col min="6" max="6" width="12.5" bestFit="1" customWidth="1"/>
    <col min="7" max="7" width="16.6640625" bestFit="1" customWidth="1"/>
    <col min="8" max="8" width="7.83203125" bestFit="1" customWidth="1"/>
    <col min="9" max="9" width="7.33203125" bestFit="1" customWidth="1"/>
  </cols>
  <sheetData>
    <row r="1" spans="1:9" ht="23" x14ac:dyDescent="0.35">
      <c r="A1" s="62" t="s">
        <v>7093</v>
      </c>
      <c r="B1" s="61"/>
      <c r="C1" s="61"/>
      <c r="D1" s="61"/>
      <c r="E1" s="61"/>
      <c r="F1" s="61"/>
      <c r="G1" s="61"/>
      <c r="H1" s="61"/>
      <c r="I1" s="61"/>
    </row>
    <row r="2" spans="1:9" ht="16" x14ac:dyDescent="0.25">
      <c r="A2" s="61"/>
      <c r="B2" s="61"/>
      <c r="C2" s="61"/>
      <c r="D2" s="61"/>
      <c r="E2" s="61"/>
      <c r="F2" s="61"/>
      <c r="G2" s="61"/>
      <c r="H2" s="61"/>
      <c r="I2" s="61"/>
    </row>
    <row r="3" spans="1:9" ht="16" x14ac:dyDescent="0.25">
      <c r="A3" s="66" t="s">
        <v>7094</v>
      </c>
      <c r="B3" s="61"/>
      <c r="C3" s="61"/>
      <c r="D3" s="61"/>
      <c r="E3" s="61"/>
      <c r="F3" s="61"/>
      <c r="G3" s="61"/>
      <c r="H3" s="61"/>
      <c r="I3" s="61"/>
    </row>
    <row r="4" spans="1:9" ht="16" x14ac:dyDescent="0.25">
      <c r="A4" s="61"/>
      <c r="B4" s="67" t="s">
        <v>256</v>
      </c>
      <c r="C4" s="67" t="s">
        <v>234</v>
      </c>
      <c r="D4" s="67" t="s">
        <v>90</v>
      </c>
      <c r="E4" s="67" t="s">
        <v>216</v>
      </c>
      <c r="F4" s="67" t="s">
        <v>235</v>
      </c>
      <c r="G4" s="67" t="s">
        <v>236</v>
      </c>
      <c r="H4" s="67" t="s">
        <v>237</v>
      </c>
      <c r="I4" s="67" t="s">
        <v>238</v>
      </c>
    </row>
    <row r="5" spans="1:9" ht="16" x14ac:dyDescent="0.25">
      <c r="A5" s="61" t="s">
        <v>36</v>
      </c>
      <c r="B5" s="63">
        <f>IFERROR(COUNTIFS(Kundenliste[Abschluss],$A5,Kundenliste[Lead-Quelle],B$4)/COUNTIF(Kundenliste[Lead-Quelle],B$4),0)</f>
        <v>0</v>
      </c>
      <c r="C5" s="63">
        <f>IFERROR(COUNTIFS(Kundenliste[Abschluss],$A5,Kundenliste[Lead-Quelle],C$4)/COUNTIF(Kundenliste[Lead-Quelle],C$4),0)</f>
        <v>0</v>
      </c>
      <c r="D5" s="63">
        <f>IFERROR(COUNTIFS(Kundenliste[Abschluss],$A5,Kundenliste[Lead-Quelle],D$4)/COUNTIF(Kundenliste[Lead-Quelle],D$4),0)</f>
        <v>1</v>
      </c>
      <c r="E5" s="63">
        <f>IFERROR(COUNTIFS(Kundenliste[Abschluss],$A5,Kundenliste[Lead-Quelle],E$4)/COUNTIF(Kundenliste[Lead-Quelle],E$4),0)</f>
        <v>1</v>
      </c>
      <c r="F5" s="63">
        <f>IFERROR(COUNTIFS(Kundenliste[Abschluss],$A5,Kundenliste[Lead-Quelle],F$4)/COUNTIF(Kundenliste[Lead-Quelle],F$4),0)</f>
        <v>0</v>
      </c>
      <c r="G5" s="63">
        <f>IFERROR(COUNTIFS(Kundenliste[Abschluss],$A5,Kundenliste[Lead-Quelle],G$4)/COUNTIF(Kundenliste[Lead-Quelle],G$4),0)</f>
        <v>0</v>
      </c>
      <c r="H5" s="63">
        <f>IFERROR(COUNTIF(Kundenliste[Abschluss],$A5)/COUNTA(Kundenliste[Abschluss]),0)</f>
        <v>0.18867924528301888</v>
      </c>
      <c r="I5" s="64">
        <f>COUNTIF(Kundenliste[Abschluss],$A5)</f>
        <v>10</v>
      </c>
    </row>
    <row r="6" spans="1:9" ht="16" x14ac:dyDescent="0.25">
      <c r="A6" s="61" t="s">
        <v>69</v>
      </c>
      <c r="B6" s="63">
        <f>IFERROR(COUNTIFS(Kundenliste[Abschluss],$A6,Kundenliste[Lead-Quelle],B$4)/COUNTIF(Kundenliste[Lead-Quelle],B$4),0)</f>
        <v>0</v>
      </c>
      <c r="C6" s="63">
        <f>IFERROR(COUNTIFS(Kundenliste[Abschluss],$A6,Kundenliste[Lead-Quelle],C$4)/COUNTIF(Kundenliste[Lead-Quelle],C$4),0)</f>
        <v>0</v>
      </c>
      <c r="D6" s="63">
        <f>IFERROR(COUNTIFS(Kundenliste[Abschluss],$A6,Kundenliste[Lead-Quelle],D$4)/COUNTIF(Kundenliste[Lead-Quelle],D$4),0)</f>
        <v>0</v>
      </c>
      <c r="E6" s="63">
        <f>IFERROR(COUNTIFS(Kundenliste[Abschluss],$A6,Kundenliste[Lead-Quelle],E$4)/COUNTIF(Kundenliste[Lead-Quelle],E$4),0)</f>
        <v>0</v>
      </c>
      <c r="F6" s="63">
        <f>IFERROR(COUNTIFS(Kundenliste[Abschluss],$A6,Kundenliste[Lead-Quelle],F$4)/COUNTIF(Kundenliste[Lead-Quelle],F$4),0)</f>
        <v>0</v>
      </c>
      <c r="G6" s="63">
        <f>IFERROR(COUNTIFS(Kundenliste[Abschluss],$A6,Kundenliste[Lead-Quelle],G$4)/COUNTIF(Kundenliste[Lead-Quelle],G$4),0)</f>
        <v>0</v>
      </c>
      <c r="H6" s="63">
        <f>IFERROR(COUNTIF(Kundenliste[Abschluss],$A6)/COUNTA(Kundenliste[Abschluss]),0)</f>
        <v>0.22641509433962265</v>
      </c>
      <c r="I6" s="64">
        <f>COUNTIF(Kundenliste[Abschluss],$A6)</f>
        <v>12</v>
      </c>
    </row>
    <row r="7" spans="1:9" ht="16" x14ac:dyDescent="0.25">
      <c r="A7" s="61" t="s">
        <v>27</v>
      </c>
      <c r="B7" s="63">
        <f>IFERROR(COUNTIFS(Kundenliste[Abschluss],$A7,Kundenliste[Lead-Quelle],B$4)/COUNTIF(Kundenliste[Lead-Quelle],B$4),0)</f>
        <v>0</v>
      </c>
      <c r="C7" s="63">
        <f>IFERROR(COUNTIFS(Kundenliste[Abschluss],$A7,Kundenliste[Lead-Quelle],C$4)/COUNTIF(Kundenliste[Lead-Quelle],C$4),0)</f>
        <v>0</v>
      </c>
      <c r="D7" s="63">
        <f>IFERROR(COUNTIFS(Kundenliste[Abschluss],$A7,Kundenliste[Lead-Quelle],D$4)/COUNTIF(Kundenliste[Lead-Quelle],D$4),0)</f>
        <v>0</v>
      </c>
      <c r="E7" s="63">
        <f>IFERROR(COUNTIFS(Kundenliste[Abschluss],$A7,Kundenliste[Lead-Quelle],E$4)/COUNTIF(Kundenliste[Lead-Quelle],E$4),0)</f>
        <v>0</v>
      </c>
      <c r="F7" s="63">
        <f>IFERROR(COUNTIFS(Kundenliste[Abschluss],$A7,Kundenliste[Lead-Quelle],F$4)/COUNTIF(Kundenliste[Lead-Quelle],F$4),0)</f>
        <v>0</v>
      </c>
      <c r="G7" s="63">
        <f>IFERROR(COUNTIFS(Kundenliste[Abschluss],$A7,Kundenliste[Lead-Quelle],G$4)/COUNTIF(Kundenliste[Lead-Quelle],G$4),0)</f>
        <v>0</v>
      </c>
      <c r="H7" s="63">
        <f>IFERROR(COUNTIF(Kundenliste[Abschluss],$A7)/COUNTA(Kundenliste[Abschluss]),0)</f>
        <v>0.58490566037735847</v>
      </c>
      <c r="I7" s="64">
        <f>COUNTIF(Kundenliste[Abschluss],$A7)</f>
        <v>31</v>
      </c>
    </row>
    <row r="8" spans="1:9" ht="16" x14ac:dyDescent="0.25">
      <c r="A8" s="61"/>
      <c r="B8" s="61"/>
      <c r="C8" s="61"/>
      <c r="D8" s="61"/>
      <c r="E8" s="61"/>
      <c r="F8" s="61"/>
      <c r="G8" s="61"/>
      <c r="H8" s="61"/>
      <c r="I8" s="61"/>
    </row>
    <row r="9" spans="1:9" ht="16" x14ac:dyDescent="0.25">
      <c r="A9" s="61"/>
      <c r="B9" s="61"/>
      <c r="C9" s="61"/>
      <c r="D9" s="61"/>
      <c r="E9" s="61"/>
      <c r="F9" s="61"/>
      <c r="G9" s="61"/>
      <c r="H9" s="61"/>
      <c r="I9" s="61"/>
    </row>
    <row r="10" spans="1:9" ht="16" x14ac:dyDescent="0.25">
      <c r="A10" s="61"/>
      <c r="B10" s="61"/>
      <c r="C10" s="61"/>
      <c r="D10" s="61"/>
      <c r="E10" s="61"/>
      <c r="F10" s="61"/>
      <c r="G10" s="61"/>
      <c r="H10" s="61"/>
      <c r="I10" s="61"/>
    </row>
    <row r="11" spans="1:9" ht="16" x14ac:dyDescent="0.25">
      <c r="A11" s="66" t="s">
        <v>239</v>
      </c>
      <c r="B11" s="61"/>
      <c r="C11" s="61"/>
      <c r="D11" s="61"/>
      <c r="E11" s="61"/>
      <c r="F11" s="61"/>
      <c r="G11" s="61"/>
      <c r="H11" s="61"/>
      <c r="I11" s="61"/>
    </row>
    <row r="12" spans="1:9" ht="16" x14ac:dyDescent="0.25">
      <c r="A12" s="61"/>
      <c r="B12" s="61" t="str">
        <f>TRANSPOSE(_xlfn._xlws.SORT(_xlfn.UNIQUE(_xlfn._xlws.FILTER(Kundenliste[Status],Kundenliste[Status]&lt;&gt;""))))</f>
        <v>Ersttermin</v>
      </c>
      <c r="C12" s="61"/>
      <c r="D12" s="61"/>
      <c r="E12" s="61"/>
      <c r="F12" s="61"/>
      <c r="G12" s="61"/>
      <c r="H12" s="61"/>
      <c r="I12" s="61"/>
    </row>
    <row r="13" spans="1:9" ht="16" x14ac:dyDescent="0.25">
      <c r="A13" s="61"/>
      <c r="B13" s="61">
        <f>COUNTIF(Kundenliste[Status],B$12)</f>
        <v>4</v>
      </c>
      <c r="C13" s="61"/>
      <c r="D13" s="61"/>
      <c r="E13" s="61"/>
      <c r="F13" s="61"/>
      <c r="G13" s="61"/>
      <c r="H13" s="61"/>
      <c r="I13" s="61"/>
    </row>
    <row r="14" spans="1:9" ht="16" x14ac:dyDescent="0.25">
      <c r="A14" s="61"/>
      <c r="B14" s="63">
        <f>IFERROR(B13/SUM(_xlfn.ANCHORARRAY(B13)),0)</f>
        <v>1</v>
      </c>
      <c r="C14" s="61"/>
      <c r="D14" s="61"/>
      <c r="E14" s="61"/>
      <c r="F14" s="61"/>
      <c r="G14" s="61"/>
      <c r="H14" s="61"/>
      <c r="I14" s="61"/>
    </row>
    <row r="15" spans="1:9" ht="16" x14ac:dyDescent="0.25">
      <c r="A15" s="61"/>
      <c r="B15" s="61"/>
      <c r="C15" s="61"/>
      <c r="D15" s="61"/>
      <c r="E15" s="61"/>
      <c r="F15" s="61"/>
      <c r="G15" s="61"/>
      <c r="H15" s="61"/>
      <c r="I15" s="61"/>
    </row>
    <row r="16" spans="1:9" ht="16" x14ac:dyDescent="0.25">
      <c r="A16" s="61"/>
      <c r="B16" s="61"/>
      <c r="C16" s="61"/>
      <c r="D16" s="61"/>
      <c r="E16" s="61"/>
      <c r="F16" s="61"/>
      <c r="G16" s="61"/>
      <c r="H16" s="61"/>
      <c r="I16" s="61"/>
    </row>
    <row r="17" spans="1:9" ht="16" x14ac:dyDescent="0.25">
      <c r="A17" s="61"/>
      <c r="B17" s="61"/>
      <c r="C17" s="61"/>
      <c r="D17" s="61"/>
      <c r="E17" s="61"/>
      <c r="F17" s="61"/>
      <c r="G17" s="61"/>
      <c r="H17" s="61"/>
      <c r="I17" s="61"/>
    </row>
    <row r="18" spans="1:9" ht="16" x14ac:dyDescent="0.25">
      <c r="A18" s="66" t="s">
        <v>242</v>
      </c>
      <c r="B18" s="61"/>
      <c r="C18" s="61"/>
      <c r="D18" s="61"/>
      <c r="E18" s="61"/>
      <c r="F18" s="61"/>
      <c r="G18" s="61"/>
      <c r="H18" s="61"/>
      <c r="I18" s="61"/>
    </row>
    <row r="19" spans="1:9" ht="16" x14ac:dyDescent="0.25">
      <c r="A19" s="61"/>
      <c r="B19" s="61">
        <f>TRANSPOSE(_xlfn._xlws.SORT(_xlfn.UNIQUE(Kundenliste[Monat Lead erhalten])))</f>
        <v>46023</v>
      </c>
      <c r="C19" s="61"/>
      <c r="D19" s="61"/>
      <c r="E19" s="61"/>
      <c r="F19" s="61"/>
      <c r="G19" s="61"/>
      <c r="H19" s="61"/>
      <c r="I19" s="61"/>
    </row>
    <row r="20" spans="1:9" ht="16" x14ac:dyDescent="0.25">
      <c r="A20" s="61" t="s">
        <v>256</v>
      </c>
      <c r="B20" s="65">
        <f>SUMIFS(Kundenliste[Spend],Kundenliste[Lead-Quelle],$A20,Kundenliste[Monat Lead erhalten],B$19)</f>
        <v>0</v>
      </c>
      <c r="C20" s="65"/>
      <c r="D20" s="65"/>
      <c r="E20" s="65"/>
      <c r="F20" s="65"/>
      <c r="G20" s="65"/>
      <c r="H20" s="65"/>
      <c r="I20" s="61"/>
    </row>
    <row r="21" spans="1:9" ht="16" x14ac:dyDescent="0.25">
      <c r="A21" s="61" t="s">
        <v>234</v>
      </c>
      <c r="B21" s="65"/>
      <c r="C21" s="65">
        <f>SUMIFS(Kundenliste[Spend],Kundenliste[Lead-Quelle],$A21,Kundenliste[Monat Lead erhalten],C$19)</f>
        <v>0</v>
      </c>
      <c r="D21" s="65">
        <f>SUMIFS(Kundenliste[Spend],Kundenliste[Lead-Quelle],$A21,Kundenliste[Monat Lead erhalten],D$19)</f>
        <v>0</v>
      </c>
      <c r="E21" s="65">
        <f>SUMIFS(Kundenliste[Spend],Kundenliste[Lead-Quelle],$A21,Kundenliste[Monat Lead erhalten],E$19)</f>
        <v>0</v>
      </c>
      <c r="F21" s="65">
        <f>SUMIFS(Kundenliste[Spend],Kundenliste[Lead-Quelle],$A21,Kundenliste[Monat Lead erhalten],F$19)</f>
        <v>0</v>
      </c>
      <c r="G21" s="65">
        <f>SUMIFS(Kundenliste[Spend],Kundenliste[Lead-Quelle],$A21,Kundenliste[Monat Lead erhalten],G$19)</f>
        <v>0</v>
      </c>
      <c r="H21" s="65">
        <f>SUMIFS(Kundenliste[Spend],Kundenliste[Lead-Quelle],$A21,Kundenliste[Monat Lead erhalten],H$19)</f>
        <v>0</v>
      </c>
      <c r="I21" s="61"/>
    </row>
    <row r="22" spans="1:9" ht="16" x14ac:dyDescent="0.25">
      <c r="A22" s="61" t="s">
        <v>90</v>
      </c>
      <c r="B22" s="65"/>
      <c r="C22" s="65">
        <f>SUMIFS(Kundenliste[Spend],Kundenliste[Lead-Quelle],$A22,Kundenliste[Monat Lead erhalten],C$19)</f>
        <v>0</v>
      </c>
      <c r="D22" s="65">
        <f>SUMIFS(Kundenliste[Spend],Kundenliste[Lead-Quelle],$A22,Kundenliste[Monat Lead erhalten],D$19)</f>
        <v>0</v>
      </c>
      <c r="E22" s="65">
        <f>SUMIFS(Kundenliste[Spend],Kundenliste[Lead-Quelle],$A22,Kundenliste[Monat Lead erhalten],E$19)</f>
        <v>0</v>
      </c>
      <c r="F22" s="65">
        <f>SUMIFS(Kundenliste[Spend],Kundenliste[Lead-Quelle],$A22,Kundenliste[Monat Lead erhalten],F$19)</f>
        <v>0</v>
      </c>
      <c r="G22" s="65">
        <f>SUMIFS(Kundenliste[Spend],Kundenliste[Lead-Quelle],$A22,Kundenliste[Monat Lead erhalten],G$19)</f>
        <v>0</v>
      </c>
      <c r="H22" s="65">
        <f>SUMIFS(Kundenliste[Spend],Kundenliste[Lead-Quelle],$A22,Kundenliste[Monat Lead erhalten],H$19)</f>
        <v>0</v>
      </c>
      <c r="I22" s="61"/>
    </row>
    <row r="23" spans="1:9" ht="16" x14ac:dyDescent="0.25">
      <c r="A23" s="61" t="s">
        <v>216</v>
      </c>
      <c r="B23" s="65"/>
      <c r="C23" s="65">
        <f>SUMIFS(Kundenliste[Spend],Kundenliste[Lead-Quelle],$A23,Kundenliste[Monat Lead erhalten],C$19)</f>
        <v>0</v>
      </c>
      <c r="D23" s="65">
        <f>SUMIFS(Kundenliste[Spend],Kundenliste[Lead-Quelle],$A23,Kundenliste[Monat Lead erhalten],D$19)</f>
        <v>0</v>
      </c>
      <c r="E23" s="65">
        <f>SUMIFS(Kundenliste[Spend],Kundenliste[Lead-Quelle],$A23,Kundenliste[Monat Lead erhalten],E$19)</f>
        <v>0</v>
      </c>
      <c r="F23" s="65">
        <f>SUMIFS(Kundenliste[Spend],Kundenliste[Lead-Quelle],$A23,Kundenliste[Monat Lead erhalten],F$19)</f>
        <v>0</v>
      </c>
      <c r="G23" s="65">
        <f>SUMIFS(Kundenliste[Spend],Kundenliste[Lead-Quelle],$A23,Kundenliste[Monat Lead erhalten],G$19)</f>
        <v>0</v>
      </c>
      <c r="H23" s="65">
        <f>SUMIFS(Kundenliste[Spend],Kundenliste[Lead-Quelle],$A23,Kundenliste[Monat Lead erhalten],H$19)</f>
        <v>0</v>
      </c>
      <c r="I23" s="61"/>
    </row>
    <row r="24" spans="1:9" ht="16" x14ac:dyDescent="0.25">
      <c r="A24" s="61"/>
      <c r="B24" s="61"/>
      <c r="C24" s="61"/>
      <c r="D24" s="61"/>
      <c r="E24" s="61"/>
      <c r="F24" s="61"/>
      <c r="G24" s="61"/>
      <c r="H24" s="61"/>
      <c r="I24" s="61"/>
    </row>
    <row r="25" spans="1:9" ht="16" x14ac:dyDescent="0.25">
      <c r="A25" s="66" t="s">
        <v>13</v>
      </c>
      <c r="B25" s="61"/>
      <c r="C25" s="61"/>
      <c r="D25" s="61"/>
      <c r="E25" s="61"/>
      <c r="F25" s="61"/>
      <c r="G25" s="61"/>
      <c r="H25" s="61"/>
      <c r="I25" s="61"/>
    </row>
    <row r="26" spans="1:9" ht="16" x14ac:dyDescent="0.25">
      <c r="A26" s="61" t="str">
        <f>_xlfn._xlws.SORT(_xlfn.UNIQUE(_xlfn._xlws.FILTER(Kundenliste[Abgesprungen nach],Kundenliste[Abgesprungen nach]&lt;&gt;"")))</f>
        <v>Erst Telefonat</v>
      </c>
      <c r="B26" s="61">
        <f>COUNTIF(Kundenliste[Abgesprungen nach],A26)</f>
        <v>19</v>
      </c>
      <c r="C26" s="63">
        <f>IFERROR(B26/SUM(_xlfn.ANCHORARRAY(B26)),0)</f>
        <v>1</v>
      </c>
      <c r="D26" s="61"/>
      <c r="E26" s="61"/>
      <c r="F26" s="61"/>
      <c r="G26" s="61"/>
      <c r="H26" s="61"/>
      <c r="I26" s="61"/>
    </row>
    <row r="27" spans="1:9" ht="16" x14ac:dyDescent="0.25">
      <c r="A27" s="61"/>
      <c r="B27" s="61"/>
      <c r="C27" s="61"/>
      <c r="D27" s="61"/>
      <c r="E27" s="61"/>
      <c r="F27" s="61"/>
      <c r="G27" s="61"/>
      <c r="H27" s="61"/>
      <c r="I27" s="61"/>
    </row>
    <row r="28" spans="1:9" ht="16" x14ac:dyDescent="0.25">
      <c r="A28" s="61"/>
      <c r="B28" s="61"/>
      <c r="C28" s="61"/>
      <c r="D28" s="61"/>
      <c r="E28" s="61"/>
      <c r="F28" s="61"/>
      <c r="G28" s="61"/>
      <c r="H28" s="61"/>
      <c r="I28" s="61"/>
    </row>
    <row r="29" spans="1:9" ht="16" x14ac:dyDescent="0.25">
      <c r="A29" s="61"/>
      <c r="B29" s="61"/>
      <c r="C29" s="61"/>
      <c r="D29" s="61"/>
      <c r="E29" s="61"/>
      <c r="F29" s="61"/>
      <c r="G29" s="61"/>
      <c r="H29" s="61"/>
      <c r="I29" s="61"/>
    </row>
    <row r="30" spans="1:9" ht="16" x14ac:dyDescent="0.25">
      <c r="A30" s="61"/>
      <c r="B30" s="61"/>
      <c r="C30" s="61"/>
      <c r="D30" s="61"/>
      <c r="E30" s="61"/>
      <c r="F30" s="61"/>
      <c r="G30" s="61"/>
      <c r="H30" s="61"/>
      <c r="I30" s="61"/>
    </row>
    <row r="31" spans="1:9" ht="16" x14ac:dyDescent="0.25">
      <c r="A31" s="61"/>
      <c r="B31" s="61"/>
      <c r="C31" s="61"/>
      <c r="D31" s="61"/>
      <c r="E31" s="61"/>
      <c r="F31" s="61"/>
      <c r="G31" s="61"/>
      <c r="H31" s="61"/>
      <c r="I31" s="61"/>
    </row>
    <row r="32" spans="1:9" ht="16" x14ac:dyDescent="0.25">
      <c r="A32" s="61"/>
      <c r="B32" s="61"/>
      <c r="C32" s="61"/>
      <c r="D32" s="61"/>
      <c r="E32" s="61"/>
      <c r="F32" s="61"/>
      <c r="G32" s="61"/>
      <c r="H32" s="61"/>
      <c r="I32" s="61"/>
    </row>
    <row r="33" spans="1:9" ht="16" x14ac:dyDescent="0.25">
      <c r="A33" s="66" t="s">
        <v>258</v>
      </c>
      <c r="B33" s="61"/>
      <c r="C33" s="61"/>
      <c r="D33" s="61"/>
      <c r="E33" s="61"/>
      <c r="F33" s="61"/>
      <c r="G33" s="61"/>
      <c r="H33" s="61"/>
      <c r="I33" s="61"/>
    </row>
    <row r="34" spans="1:9" ht="16" x14ac:dyDescent="0.25">
      <c r="A34" s="61" t="str">
        <f>_xlfn._xlws.SORT(_xlfn.UNIQUE(_xlfn._xlws.FILTER(Kundenliste[Ort],Kundenliste[Ort]&lt;&gt;"")))</f>
        <v>Baiern</v>
      </c>
      <c r="B34" s="61">
        <f>_xlfn.XLOOKUP(A34,Kundenliste[Ort],Kundenliste[PLZ],"")</f>
        <v>85625</v>
      </c>
      <c r="C34" s="61">
        <f>COUNTIF(Kundenliste[Ort],A34)</f>
        <v>1</v>
      </c>
      <c r="D34" s="61"/>
      <c r="E34" s="61"/>
      <c r="F34" s="61"/>
      <c r="G34" s="61"/>
      <c r="H34" s="61"/>
      <c r="I34" s="61"/>
    </row>
    <row r="35" spans="1:9" ht="16" x14ac:dyDescent="0.25">
      <c r="A35" s="61"/>
      <c r="B35" s="61"/>
      <c r="C35" s="61"/>
      <c r="D35" s="61"/>
      <c r="E35" s="61"/>
      <c r="F35" s="61"/>
      <c r="G35" s="61"/>
      <c r="H35" s="61"/>
      <c r="I35" s="61"/>
    </row>
    <row r="36" spans="1:9" ht="16" x14ac:dyDescent="0.25">
      <c r="A36" s="61"/>
      <c r="B36" s="61"/>
      <c r="C36" s="61"/>
      <c r="D36" s="61"/>
      <c r="E36" s="61"/>
      <c r="F36" s="61"/>
      <c r="G36" s="61"/>
      <c r="H36" s="61"/>
      <c r="I36" s="61"/>
    </row>
    <row r="37" spans="1:9" ht="16" x14ac:dyDescent="0.25">
      <c r="A37" s="61"/>
      <c r="B37" s="61"/>
      <c r="C37" s="61"/>
      <c r="D37" s="61"/>
      <c r="E37" s="61"/>
      <c r="F37" s="61"/>
      <c r="G37" s="61"/>
      <c r="H37" s="61"/>
      <c r="I37" s="61"/>
    </row>
    <row r="38" spans="1:9" ht="16" x14ac:dyDescent="0.25">
      <c r="A38" s="61"/>
      <c r="B38" s="61"/>
      <c r="C38" s="61"/>
      <c r="D38" s="61"/>
      <c r="E38" s="61"/>
      <c r="F38" s="61"/>
      <c r="G38" s="61"/>
      <c r="H38" s="61"/>
      <c r="I38" s="61"/>
    </row>
    <row r="39" spans="1:9" ht="16" x14ac:dyDescent="0.25">
      <c r="A39" s="61"/>
      <c r="B39" s="61"/>
      <c r="C39" s="61"/>
      <c r="D39" s="61"/>
      <c r="E39" s="61"/>
      <c r="F39" s="61"/>
      <c r="G39" s="61"/>
      <c r="H39" s="61"/>
      <c r="I39" s="61"/>
    </row>
    <row r="40" spans="1:9" ht="16" x14ac:dyDescent="0.25">
      <c r="A40" s="61"/>
      <c r="B40" s="61"/>
      <c r="C40" s="61"/>
      <c r="D40" s="61"/>
      <c r="E40" s="61"/>
      <c r="F40" s="61"/>
      <c r="G40" s="61"/>
      <c r="H40" s="61"/>
      <c r="I40" s="61"/>
    </row>
    <row r="41" spans="1:9" ht="16" x14ac:dyDescent="0.25">
      <c r="A41" s="61"/>
      <c r="B41" s="61"/>
      <c r="C41" s="61"/>
      <c r="D41" s="61"/>
      <c r="E41" s="61"/>
      <c r="F41" s="61"/>
      <c r="G41" s="61"/>
      <c r="H41" s="61"/>
      <c r="I41" s="61"/>
    </row>
    <row r="42" spans="1:9" ht="16" x14ac:dyDescent="0.25">
      <c r="A42" s="61"/>
      <c r="B42" s="61"/>
      <c r="C42" s="61"/>
      <c r="D42" s="61"/>
      <c r="E42" s="61"/>
      <c r="F42" s="61"/>
      <c r="G42" s="61"/>
      <c r="H42" s="61"/>
      <c r="I42" s="61"/>
    </row>
    <row r="43" spans="1:9" ht="16" x14ac:dyDescent="0.25">
      <c r="A43" s="61"/>
      <c r="B43" s="61"/>
      <c r="C43" s="61"/>
      <c r="D43" s="61"/>
      <c r="E43" s="61"/>
      <c r="F43" s="61"/>
      <c r="G43" s="61"/>
      <c r="H43" s="61"/>
      <c r="I43" s="61"/>
    </row>
    <row r="44" spans="1:9" ht="16" x14ac:dyDescent="0.25">
      <c r="A44" s="61"/>
      <c r="B44" s="61"/>
      <c r="C44" s="61"/>
      <c r="D44" s="61"/>
      <c r="E44" s="61"/>
      <c r="F44" s="61"/>
      <c r="G44" s="61"/>
      <c r="H44" s="61"/>
      <c r="I44" s="61"/>
    </row>
    <row r="45" spans="1:9" ht="16" x14ac:dyDescent="0.25">
      <c r="A45" s="61"/>
      <c r="B45" s="61"/>
      <c r="C45" s="61"/>
      <c r="D45" s="61"/>
      <c r="E45" s="61"/>
      <c r="F45" s="61"/>
      <c r="G45" s="61"/>
      <c r="H45" s="61"/>
      <c r="I45" s="61"/>
    </row>
    <row r="46" spans="1:9" ht="16" x14ac:dyDescent="0.25">
      <c r="A46" s="61"/>
      <c r="B46" s="61"/>
      <c r="C46" s="61"/>
      <c r="D46" s="61"/>
      <c r="E46" s="61"/>
      <c r="F46" s="61"/>
      <c r="G46" s="61"/>
      <c r="H46" s="61"/>
      <c r="I46" s="61"/>
    </row>
    <row r="47" spans="1:9" ht="16" x14ac:dyDescent="0.25">
      <c r="A47" s="61"/>
      <c r="B47" s="61"/>
      <c r="C47" s="61"/>
      <c r="D47" s="61"/>
      <c r="E47" s="61"/>
      <c r="F47" s="61"/>
      <c r="G47" s="61"/>
      <c r="H47" s="61"/>
      <c r="I47" s="61"/>
    </row>
    <row r="48" spans="1:9" ht="16" x14ac:dyDescent="0.25">
      <c r="A48" s="61"/>
      <c r="B48" s="61"/>
      <c r="C48" s="61"/>
      <c r="D48" s="61"/>
      <c r="E48" s="61"/>
      <c r="F48" s="61"/>
      <c r="G48" s="61"/>
      <c r="H48" s="61"/>
      <c r="I48" s="61"/>
    </row>
    <row r="49" spans="1:9" ht="16" x14ac:dyDescent="0.25">
      <c r="A49" s="61"/>
      <c r="B49" s="61"/>
      <c r="C49" s="61"/>
      <c r="D49" s="61"/>
      <c r="E49" s="61"/>
      <c r="F49" s="61"/>
      <c r="G49" s="61"/>
      <c r="H49" s="61"/>
      <c r="I49" s="61"/>
    </row>
    <row r="50" spans="1:9" ht="16" x14ac:dyDescent="0.25">
      <c r="A50" s="61"/>
      <c r="B50" s="61"/>
      <c r="C50" s="61"/>
      <c r="D50" s="61"/>
      <c r="E50" s="61"/>
      <c r="F50" s="61"/>
      <c r="G50" s="61"/>
      <c r="H50" s="61"/>
      <c r="I50" s="61"/>
    </row>
    <row r="51" spans="1:9" ht="16" x14ac:dyDescent="0.25">
      <c r="A51" s="61"/>
      <c r="B51" s="61"/>
      <c r="C51" s="61"/>
      <c r="D51" s="61"/>
      <c r="E51" s="61"/>
      <c r="F51" s="61"/>
      <c r="G51" s="61"/>
      <c r="H51" s="61"/>
      <c r="I51" s="61"/>
    </row>
    <row r="52" spans="1:9" ht="16" x14ac:dyDescent="0.25">
      <c r="A52" s="61"/>
      <c r="B52" s="61"/>
      <c r="C52" s="61"/>
      <c r="D52" s="61"/>
      <c r="E52" s="61"/>
      <c r="F52" s="61"/>
      <c r="G52" s="61"/>
      <c r="H52" s="61"/>
      <c r="I52" s="61"/>
    </row>
    <row r="53" spans="1:9" ht="16" x14ac:dyDescent="0.25">
      <c r="A53" s="61"/>
      <c r="B53" s="61"/>
      <c r="C53" s="61"/>
      <c r="D53" s="61"/>
      <c r="E53" s="61"/>
      <c r="F53" s="61"/>
      <c r="G53" s="61"/>
      <c r="H53" s="61"/>
      <c r="I53" s="61"/>
    </row>
    <row r="54" spans="1:9" ht="16" x14ac:dyDescent="0.25">
      <c r="A54" s="61"/>
      <c r="B54" s="61"/>
      <c r="C54" s="61"/>
      <c r="D54" s="61"/>
      <c r="E54" s="61"/>
      <c r="F54" s="61"/>
      <c r="G54" s="61"/>
      <c r="H54" s="61"/>
      <c r="I54" s="61"/>
    </row>
    <row r="55" spans="1:9" ht="16" x14ac:dyDescent="0.25">
      <c r="A55" s="61"/>
      <c r="B55" s="61"/>
      <c r="C55" s="61"/>
      <c r="D55" s="61"/>
      <c r="E55" s="61"/>
      <c r="F55" s="61"/>
      <c r="G55" s="61"/>
      <c r="H55" s="61"/>
      <c r="I55" s="61"/>
    </row>
    <row r="56" spans="1:9" ht="16" x14ac:dyDescent="0.25">
      <c r="A56" s="61"/>
      <c r="B56" s="61"/>
      <c r="C56" s="61"/>
      <c r="D56" s="61"/>
      <c r="E56" s="61"/>
      <c r="F56" s="61"/>
      <c r="G56" s="61"/>
      <c r="H56" s="61"/>
      <c r="I56" s="61"/>
    </row>
    <row r="57" spans="1:9" ht="16" x14ac:dyDescent="0.25">
      <c r="A57" s="61"/>
      <c r="B57" s="61"/>
      <c r="C57" s="61"/>
      <c r="D57" s="61"/>
      <c r="E57" s="61"/>
      <c r="F57" s="61"/>
      <c r="G57" s="61"/>
      <c r="H57" s="61"/>
      <c r="I57" s="61"/>
    </row>
    <row r="58" spans="1:9" ht="16" x14ac:dyDescent="0.25">
      <c r="A58" s="61"/>
      <c r="B58" s="61"/>
      <c r="C58" s="61"/>
      <c r="D58" s="61"/>
      <c r="E58" s="61"/>
      <c r="F58" s="61"/>
      <c r="G58" s="61"/>
      <c r="H58" s="61"/>
      <c r="I58" s="61"/>
    </row>
    <row r="59" spans="1:9" ht="16" x14ac:dyDescent="0.25">
      <c r="A59" s="61"/>
      <c r="B59" s="61"/>
      <c r="C59" s="61"/>
      <c r="D59" s="61"/>
      <c r="E59" s="61"/>
      <c r="F59" s="61"/>
      <c r="G59" s="61"/>
      <c r="H59" s="61"/>
      <c r="I59" s="61"/>
    </row>
    <row r="60" spans="1:9" ht="16" x14ac:dyDescent="0.25">
      <c r="A60" s="61"/>
      <c r="B60" s="61"/>
      <c r="C60" s="61"/>
      <c r="D60" s="61"/>
      <c r="E60" s="61"/>
      <c r="F60" s="61"/>
      <c r="G60" s="61"/>
      <c r="H60" s="61"/>
      <c r="I60" s="6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D23" sqref="D23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COUNTIF(Pipeline!M5:M683,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COUNTIF(Pipeline!M5:M683,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COUNTIF(Pipeline!M5:M683,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239</v>
      </c>
      <c r="B7" s="4" t="s">
        <v>42</v>
      </c>
      <c r="C7" s="4" t="s">
        <v>70</v>
      </c>
      <c r="D7" s="4" t="s">
        <v>18</v>
      </c>
      <c r="E7" s="4" t="s">
        <v>59</v>
      </c>
      <c r="F7" s="4" t="s">
        <v>240</v>
      </c>
      <c r="G7" s="4" t="s">
        <v>23</v>
      </c>
      <c r="H7" s="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COUNTIF(Pipeline!B5:B683,"Lead erhalten")</f>
        <v>8</v>
      </c>
      <c r="C8" s="15">
        <f>COUNTIF(Pipeline!B5:B683,"Nicht erreicht")</f>
        <v>2</v>
      </c>
      <c r="D8" s="15">
        <f>COUNTIF(Pipeline!B5:B683,"Standby nach Anruf")</f>
        <v>8</v>
      </c>
      <c r="E8" s="15">
        <f>COUNTIF(Pipeline!B5:B683,"Ersttermin")</f>
        <v>4</v>
      </c>
      <c r="F8" s="15">
        <f>COUNTIF(Pipeline!B5:B683,"Standby nach Ersttermin")</f>
        <v>0</v>
      </c>
      <c r="G8" s="15">
        <f>COUNTIF(Pipeline!B5:B683,"Geschlossen")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ROUND(COUNTIF(Pipeline!B5:B683,"Lead erhalten") / COUNTA(Pipeline!B5:B683) * 100,1) &amp; "%"</f>
        <v>12,7%</v>
      </c>
      <c r="C9" s="15" t="str">
        <f>ROUND(COUNTIF(Pipeline!B5:B683,"Nicht erreicht") / COUNTA(Pipeline!B5:B683) * 100,1) &amp; "%"</f>
        <v>3,2%</v>
      </c>
      <c r="D9" s="15" t="str">
        <f>ROUND(COUNTIF(Pipeline!B5:B683,"Standby nach Anruf") / COUNTA(Pipeline!B5:B683) * 100,1) &amp; "%"</f>
        <v>12,7%</v>
      </c>
      <c r="E9" s="15" t="str">
        <f>ROUND(COUNTIF(Pipeline!B5:B683,"Ersttermin") / COUNTA(Pipeline!B5:B683) * 100,1) &amp; "%"</f>
        <v>6,3%</v>
      </c>
      <c r="F9" s="15" t="str">
        <f>ROUND(COUNTIF(Pipeline!B5:B683,"Standby nach Ersttermin") / COUNTA(Pipeline!B5:B683) * 100,1) &amp; "%"</f>
        <v>0%</v>
      </c>
      <c r="G9" s="15" t="str">
        <f>ROUND(COUNTIF(Pipeline!B5:B683,"Geschlossen") / COUNTA(Pipeline!B5:B683)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COUNTIF(Pipeline!N5:N683,"Nicht erreicht")</f>
        <v>0</v>
      </c>
      <c r="C18" s="19">
        <f>COUNTIF(Pipeline!N5:N683,"Erst Telefonat")</f>
        <v>19</v>
      </c>
      <c r="D18" s="19">
        <f>COUNTIF(Pipeline!N5:N683,"Standby nach Anruf")</f>
        <v>2</v>
      </c>
      <c r="E18" s="19">
        <f>COUNTIF(Pipeline!N5:N683,"Ersttermin")</f>
        <v>4</v>
      </c>
      <c r="F18" s="19">
        <f>COUNTIF(Pipeline!N5:N683,"Standby nach Ersttermin")</f>
        <v>0</v>
      </c>
      <c r="G18" s="14">
        <f t="shared" ref="G18:G19" si="2">SUM(B18:F18)</f>
        <v>25</v>
      </c>
      <c r="I18" s="14" t="s">
        <v>241</v>
      </c>
      <c r="J18" s="19" t="str">
        <f>ROUND(COUNTIFS(Pipeline!C5:C683,"Verbund Pflegehilfe",Pipeline!Q5:Q683,"JA") / COUNTIF(Pipeline!C5:C683,"Verbund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3">ROUND(C18/SUM($B$18:$F$18)*100,1)&amp; "%"</f>
        <v>76%</v>
      </c>
      <c r="D19" s="15" t="str">
        <f t="shared" si="3"/>
        <v>8%</v>
      </c>
      <c r="E19" s="15" t="str">
        <f t="shared" si="3"/>
        <v>16%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COUNTIF(Pipeline!F5:F683,"80241")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showRowColHeaders="0" topLeftCell="A25" zoomScale="150" zoomScaleNormal="150" workbookViewId="0">
      <selection activeCell="F32" sqref="F32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5" width="10.83203125" style="48"/>
    <col min="6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7091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59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7089</v>
      </c>
    </row>
    <row r="12" spans="2:4" x14ac:dyDescent="0.15">
      <c r="B12" s="59" t="s">
        <v>7090</v>
      </c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59" t="s">
        <v>7086</v>
      </c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workbookViewId="0">
      <selection activeCell="B46" sqref="B46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Stats</vt:lpstr>
      <vt:lpstr>Berechnung</vt:lpstr>
      <vt:lpstr>PLZ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2026-02-05T11:12:41Z</dcterms:modified>
  <cp:category/>
  <cp:contentStatus/>
</cp:coreProperties>
</file>