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20001_{F6F73446-338D-EF43-A4BB-22AF53F7B66C}" xr6:coauthVersionLast="47" xr6:coauthVersionMax="47" xr10:uidLastSave="{00000000-0000-0000-0000-000000000000}"/>
  <bookViews>
    <workbookView xWindow="38400" yWindow="94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Liste_plz">PLZ[#All]</definedName>
    <definedName name="mailpath">Berechnung!$B$7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5" i="1" l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M14" i="2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19" authorId="0" shapeId="0" xr:uid="{AA168358-AF60-974D-A9B5-765B6DB2B64A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20" authorId="0" shapeId="0" xr:uid="{E11850EC-A9C2-404C-B808-C74CBDE507C1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21" authorId="0" shapeId="0" xr:uid="{416C792F-3558-E047-A95C-53E23537FBFC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22" authorId="0" shapeId="0" xr:uid="{EA3FBF04-2F97-494B-9D6D-56B6E352BACA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23" authorId="0" shapeId="0" xr:uid="{0D8BF8C5-2FBD-8846-B6EF-B19AFD6E296F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24" authorId="0" shapeId="0" xr:uid="{39F12724-D6BA-254E-ACD1-B85AF4328376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25" authorId="0" shapeId="0" xr:uid="{65187271-557F-834B-AFEB-F45748C94AA0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26" authorId="0" shapeId="0" xr:uid="{62E86A12-5459-0B4F-9FFA-2CF3E8624D53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27" authorId="0" shapeId="0" xr:uid="{8A02C7DF-26E8-BF4E-A8BE-CEAC0EF562F4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28" authorId="0" shapeId="0" xr:uid="{B216125F-DC5A-A546-A529-4189BF1A08BA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29" authorId="0" shapeId="0" xr:uid="{F27B3853-3D52-0548-A92E-76EFB110B0EA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30" authorId="0" shapeId="0" xr:uid="{1B9CDD4C-943D-9841-A0A1-1DC131240307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31" authorId="0" shapeId="0" xr:uid="{E7B6BA97-464B-264A-A874-9417503EB593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32" authorId="0" shapeId="0" xr:uid="{4A8910A2-B88E-7E43-9CAA-B1AB49887B2D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33" authorId="0" shapeId="0" xr:uid="{040BAB29-E1F5-414F-AAC9-5282D801DBF1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34" authorId="0" shapeId="0" xr:uid="{DB66BB26-3C6E-DB45-A026-8CEC1B2A1461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35" authorId="0" shapeId="0" xr:uid="{A6FB0011-2B3C-F44D-9CB9-F56E1C601823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36" authorId="0" shapeId="0" xr:uid="{EC6FFE7A-9F4E-7F4D-A83D-8CE4D26011BB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37" authorId="0" shapeId="0" xr:uid="{EBE603D6-423A-2548-84A0-D326F285A17F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38" authorId="0" shapeId="0" xr:uid="{6A46BB8C-F6F9-1248-AF1F-F2316D17AB90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39" authorId="0" shapeId="0" xr:uid="{E32518C3-5D95-4F44-BD74-D8217082E367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40" authorId="0" shapeId="0" xr:uid="{EFB55CA1-2E28-E042-B644-7304679D59AD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41" authorId="0" shapeId="0" xr:uid="{DB4A8BEF-81D8-E640-A602-FAD859669B0F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42" authorId="0" shapeId="0" xr:uid="{26F0B0C2-8AE8-EF47-8A7E-C9843E227458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43" authorId="0" shapeId="0" xr:uid="{CCC179E4-93C7-8C40-8BFE-808C6A5019B7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44" authorId="0" shapeId="0" xr:uid="{11E96744-05C4-0847-87CA-9851C38E1FC8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45" authorId="0" shapeId="0" xr:uid="{8F6B15F7-2BC3-474C-A992-519231922B4A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46" authorId="0" shapeId="0" xr:uid="{5426E95A-6114-D64C-ABAD-0201E6EE16BB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47" authorId="0" shapeId="0" xr:uid="{7EBFA35A-DB67-114A-9CEB-A31AE25955D8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48" authorId="0" shapeId="0" xr:uid="{7A7B8C7A-82B8-294F-9AD6-0D5D91CF0A70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49" authorId="0" shapeId="0" xr:uid="{D003507D-4776-E646-8709-51211619C12C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50" authorId="0" shapeId="0" xr:uid="{A12575FF-BB35-7948-8DDE-E5F8FB895B77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51" authorId="0" shapeId="0" xr:uid="{40E19545-14C5-564A-BF6E-FDE51A57D332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52" authorId="0" shapeId="0" xr:uid="{38806594-B53A-644A-A0FC-6B96D00D93C5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53" authorId="0" shapeId="0" xr:uid="{48D55254-77E8-AC4A-B681-9A4E3D7F074F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54" authorId="0" shapeId="0" xr:uid="{66C27251-C0A6-DD48-945C-F24898983166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  <comment ref="A155" authorId="0" shapeId="0" xr:uid="{012775CA-4865-2140-B673-43019ECC67B4}">
      <text>
        <r>
          <rPr>
            <sz val="10"/>
            <color rgb="FF000000"/>
            <rFont val="Tahoma"/>
            <family val="2"/>
          </rPr>
          <t>Automatischer Import vom: 17.02.26 10.30 | Quelle: Dateiordner: /Users/steffen/Documents/GitHub/Excel Leads/Mails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<sst xmlns="http://schemas.openxmlformats.org/spreadsheetml/2006/main" count="10932" uniqueCount="7382">
  <si>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</si>
  <si>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</si>
  <si>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</si>
  <si>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</si>
  <si>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</si>
  <si>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</si>
  <si>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</si>
  <si>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</si>
  <si>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</si>
  <si>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</si>
  <si>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</si>
  <si>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</si>
  <si>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</si>
  <si>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</si>
  <si>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</si>
  <si>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</si>
  <si>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</si>
  <si>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</si>
  <si>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</si>
  <si>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</si>
  <si>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</si>
  <si>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</si>
  <si>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</si>
  <si>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</si>
  <si>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</si>
  <si>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</si>
  <si>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</si>
  <si>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</si>
  <si>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</si>
  <si>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</si>
  <si>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</si>
  <si>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</si>
  <si>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</si>
  <si>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</si>
  <si>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</si>
  <si>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</si>
  <si>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</si>
  <si>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</si>
  <si>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</si>
  <si>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</si>
  <si>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</si>
  <si>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</si>
  <si>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</si>
  <si>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</si>
  <si>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</si>
  <si>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</si>
  <si>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</si>
  <si>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</si>
  <si>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</si>
  <si>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</si>
  <si>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</si>
  <si>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</si>
  <si>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</si>
  <si>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</si>
  <si>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</si>
  <si>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</si>
  <si>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</si>
  <si>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</si>
  <si>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</si>
  <si>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</si>
  <si>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</si>
  <si>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</si>
  <si>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</si>
  <si>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</si>
  <si>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</si>
  <si>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</si>
  <si>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</si>
  <si>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</si>
  <si>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</si>
  <si>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</si>
  <si>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</si>
  <si>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</si>
  <si>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</si>
  <si>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</si>
  <si>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</si>
  <si>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</si>
  <si>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</si>
  <si>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</si>
  <si>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</si>
  <si>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</si>
  <si>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</si>
  <si>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</si>
  <si>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</si>
  <si>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</si>
  <si>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</si>
  <si>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</si>
  <si>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</si>
  <si>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</si>
  <si>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</si>
  <si>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</si>
  <si>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</si>
  <si>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</si>
  <si>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</si>
  <si>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</si>
  <si>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</si>
  <si>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</si>
  <si>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</si>
  <si>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</si>
  <si>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</si>
  <si>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</si>
  <si>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</si>
  <si>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</si>
  <si>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</si>
  <si>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</si>
  <si>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</si>
  <si>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</si>
  <si>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</si>
  <si>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</si>
  <si>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</si>
  <si>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</si>
  <si>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</si>
  <si>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</si>
  <si>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</si>
  <si>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</si>
  <si>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</si>
  <si>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</si>
  <si>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</si>
  <si>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</si>
  <si>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</si>
  <si>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</si>
  <si>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</si>
  <si>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</si>
  <si>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</si>
  <si>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</si>
  <si>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</si>
  <si>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</si>
  <si>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</si>
  <si>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</si>
  <si>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</si>
  <si>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</si>
  <si>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</si>
  <si>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</si>
  <si>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</si>
  <si>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</si>
  <si>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</si>
  <si>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</si>
  <si>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</si>
  <si>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</si>
  <si>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</si>
  <si>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</si>
  <si>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</si>
  <si>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</si>
  <si>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</si>
  <si>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</si>
  <si>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</si>
  <si>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</si>
  <si>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</si>
  <si>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</si>
  <si>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</si>
  <si>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</si>
  <si>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</si>
  <si>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</si>
  <si>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</si>
  <si>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</si>
  <si>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</si>
  <si>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</si>
  <si>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</si>
  <si>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</si>
  <si>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</si>
  <si>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</si>
  <si>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</si>
  <si>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</si>
  <si>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</si>
  <si>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</si>
  <si>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</si>
  <si>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</si>
  <si>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</si>
  <si>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</si>
  <si>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</si>
  <si>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</si>
  <si>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</si>
  <si>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</si>
  <si>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</si>
  <si>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</si>
  <si>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</si>
  <si>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</si>
  <si>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</si>
  <si>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</si>
  <si>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</si>
  <si>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</si>
  <si>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</si>
  <si>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</si>
  <si>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</si>
  <si>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</si>
  <si>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</si>
  <si>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</si>
  <si>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</si>
  <si>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</si>
  <si>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</si>
  <si>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</si>
  <si>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</si>
  <si>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</si>
  <si>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</si>
  <si>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</si>
  <si>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</si>
  <si>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</si>
  <si>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</si>
  <si>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</si>
  <si>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</si>
  <si>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</si>
  <si>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</si>
  <si>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</si>
  <si>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</si>
  <si>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</si>
  <si>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</si>
  <si>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</si>
  <si>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</si>
  <si>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</si>
  <si>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</si>
  <si>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</si>
  <si>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</si>
  <si>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</si>
  <si>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</si>
  <si>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</si>
  <si>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</si>
  <si>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</si>
  <si>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</si>
  <si>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</si>
  <si>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</si>
  <si>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</si>
  <si>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</si>
  <si>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</si>
  <si>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</si>
  <si>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</si>
  <si>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</si>
  <si>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</si>
  <si>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</si>
  <si>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</si>
  <si>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</si>
  <si>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</si>
  <si>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</si>
  <si>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</si>
  <si>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</si>
  <si>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</si>
  <si>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</si>
  <si>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</si>
  <si>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</si>
  <si>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</si>
  <si>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</si>
  <si>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</si>
  <si>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</si>
  <si>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</si>
  <si>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</si>
  <si>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</si>
  <si>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</si>
  <si>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</si>
  <si>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</si>
  <si>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</si>
  <si>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</si>
  <si>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</si>
  <si>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</si>
  <si>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</si>
  <si>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</si>
  <si>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</si>
  <si>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</si>
  <si>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</si>
  <si>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</si>
  <si>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</si>
  <si>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</si>
  <si>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</si>
  <si>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</si>
  <si>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</si>
  <si>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</si>
  <si>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</si>
  <si>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</si>
  <si>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</si>
  <si>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</si>
  <si>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</si>
  <si>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</si>
  <si>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</si>
  <si>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</si>
  <si>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</si>
  <si>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</si>
  <si>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</si>
  <si>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</si>
  <si>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</si>
  <si>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</si>
  <si>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</si>
  <si>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</si>
  <si>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</si>
  <si>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</si>
  <si>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</si>
  <si>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</si>
  <si>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</si>
  <si>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</si>
  <si>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</si>
  <si>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</si>
  <si>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</si>
  <si>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</si>
  <si>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</si>
  <si>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</si>
  <si>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</si>
  <si>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</si>
  <si>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</si>
  <si>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</si>
  <si>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</si>
  <si>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</si>
  <si>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</si>
  <si>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</si>
  <si>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</si>
  <si>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</si>
  <si>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</si>
  <si>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</si>
  <si>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</si>
  <si>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</si>
  <si>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</si>
  <si>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</si>
  <si>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</si>
  <si>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</si>
  <si>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</si>
  <si>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</si>
  <si>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</si>
  <si>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</si>
  <si>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</si>
  <si>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</si>
  <si>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</si>
  <si>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</si>
  <si>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</si>
  <si>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</si>
  <si>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</si>
  <si>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</si>
  <si>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</si>
  <si>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</si>
  <si>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</si>
  <si>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</si>
  <si>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</si>
  <si>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</si>
  <si>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</si>
  <si>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</si>
  <si>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</si>
  <si>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</si>
  <si>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</si>
  <si>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</si>
  <si>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</si>
  <si>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</si>
  <si>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</si>
  <si>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</si>
  <si>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</si>
  <si>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</si>
  <si>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</si>
  <si>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</si>
  <si>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</si>
  <si>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</si>
  <si>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</si>
  <si>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</si>
  <si>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</si>
  <si>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</si>
  <si>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</si>
  <si>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</si>
  <si>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</si>
  <si>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</si>
  <si>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</si>
  <si>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</si>
  <si>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</si>
  <si>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</si>
  <si>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</si>
  <si>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</si>
  <si>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</si>
  <si>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</si>
  <si>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</si>
  <si>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</si>
  <si>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</si>
  <si>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</si>
  <si>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</si>
  <si>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</si>
  <si>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</si>
  <si>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</si>
  <si>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</si>
  <si>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</si>
  <si>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</si>
  <si>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</si>
  <si>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</si>
  <si>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</si>
  <si>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</si>
  <si>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</si>
  <si>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</si>
  <si>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</si>
  <si>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</si>
  <si>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</si>
  <si>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</si>
  <si>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</si>
  <si>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</si>
  <si>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</si>
  <si>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</si>
  <si>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</si>
  <si>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</si>
  <si>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</si>
  <si>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</si>
  <si>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</si>
  <si>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</si>
  <si>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</si>
  <si>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</si>
  <si>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</si>
  <si>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</si>
  <si>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</si>
  <si>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</si>
  <si>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</si>
  <si>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</si>
  <si>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</si>
  <si>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</si>
  <si>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</si>
  <si>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</si>
  <si>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</si>
  <si>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</si>
  <si>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</si>
  <si>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</si>
  <si>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</si>
  <si>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</si>
  <si>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</si>
  <si>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</si>
  <si>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</si>
  <si>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</si>
  <si>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</si>
  <si>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</si>
  <si>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</si>
  <si>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</si>
  <si>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</si>
  <si>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</si>
  <si>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</si>
  <si>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</si>
  <si>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</si>
  <si>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</si>
  <si>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</si>
  <si>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</si>
  <si>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</si>
  <si>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</si>
  <si>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</si>
  <si>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</si>
  <si>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</si>
  <si>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</si>
  <si>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</si>
  <si>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</si>
  <si>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</si>
  <si>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</si>
  <si>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</si>
  <si>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</si>
  <si>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</si>
  <si>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</si>
  <si>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</si>
  <si>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</si>
  <si>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</si>
  <si>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</si>
  <si>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</si>
  <si>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</si>
  <si>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</si>
  <si>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</si>
  <si>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</si>
  <si>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</si>
  <si>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</si>
  <si>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</si>
  <si>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</si>
  <si>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</si>
  <si>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</si>
  <si>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</si>
  <si>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</si>
  <si>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</si>
  <si>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</si>
  <si>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</si>
  <si>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</si>
  <si>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</si>
  <si>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</si>
  <si>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</si>
  <si>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</si>
  <si>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</si>
  <si>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</si>
  <si>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</si>
  <si>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</si>
  <si>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</si>
  <si>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</si>
  <si>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</si>
  <si>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</si>
  <si>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</si>
  <si>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</si>
  <si>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</si>
  <si>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</si>
  <si>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</si>
  <si>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</si>
  <si>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</si>
  <si>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</si>
  <si>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</si>
  <si>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</si>
  <si>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</si>
  <si>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</si>
  <si>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</si>
  <si>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</si>
  <si>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</si>
  <si>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</si>
  <si>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</si>
  <si>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</si>
  <si>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</si>
  <si>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</si>
  <si>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</si>
  <si>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</si>
  <si>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</si>
  <si>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</si>
  <si>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</si>
  <si>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</si>
  <si>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</si>
  <si>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</si>
  <si>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</si>
  <si>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</si>
  <si>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</si>
  <si>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</si>
  <si>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</si>
  <si>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</si>
  <si>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</si>
  <si>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</si>
  <si>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</si>
  <si>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</si>
  <si>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</si>
  <si>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</si>
  <si>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</si>
  <si>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</si>
  <si>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</si>
  <si>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</si>
  <si>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</si>
  <si>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</si>
  <si>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</si>
  <si>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</si>
  <si>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</si>
  <si>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</si>
  <si>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</si>
  <si>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</si>
  <si>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</si>
  <si>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</si>
  <si>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</si>
  <si>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</si>
  <si>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</si>
  <si>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</si>
  <si>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</si>
  <si>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</si>
  <si>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</si>
  <si>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</si>
  <si>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</si>
  <si>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</si>
  <si>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</si>
  <si>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</si>
  <si>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</si>
  <si>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</si>
  <si>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</si>
  <si>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</si>
  <si>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</si>
  <si>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</si>
  <si>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</si>
  <si>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</si>
  <si>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</si>
  <si>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</si>
  <si>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</si>
  <si>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</si>
  <si>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</si>
  <si>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</si>
  <si>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</si>
  <si>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</si>
  <si>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</si>
  <si>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</si>
  <si>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</si>
  <si>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</si>
  <si>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</si>
  <si>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</si>
  <si>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</si>
  <si>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</si>
  <si>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</si>
  <si>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</si>
  <si>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</si>
  <si>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</si>
  <si>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</si>
  <si>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</si>
  <si>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</si>
  <si>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</si>
  <si>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</si>
  <si>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</si>
  <si>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</si>
  <si>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</si>
  <si>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</si>
  <si>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</si>
  <si>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</si>
  <si>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</si>
  <si>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</si>
  <si>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</si>
  <si>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</si>
  <si>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</si>
  <si>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</si>
  <si>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</si>
  <si>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</si>
  <si>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</si>
  <si>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</si>
  <si>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</si>
  <si>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</si>
  <si>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</si>
  <si>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</si>
  <si>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</si>
  <si>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</si>
  <si>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</si>
  <si>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</si>
  <si>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</si>
  <si>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</si>
  <si>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</si>
  <si>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</si>
  <si>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</si>
  <si>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</si>
  <si>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</si>
  <si>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</si>
  <si>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</si>
  <si>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</si>
  <si>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</si>
  <si>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</si>
  <si>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</si>
  <si>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</si>
  <si>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</si>
  <si>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</si>
  <si>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</si>
  <si>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</si>
  <si>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</si>
  <si>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</si>
  <si>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</si>
  <si>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</si>
  <si>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</si>
  <si>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</si>
  <si>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</si>
  <si>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</si>
  <si>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</si>
  <si>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</si>
  <si>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</si>
  <si>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</si>
  <si>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</si>
  <si>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</si>
  <si>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</si>
  <si>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</si>
  <si>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</si>
  <si>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</si>
  <si>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</si>
  <si>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</si>
  <si>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</si>
  <si>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</si>
  <si>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</si>
  <si>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</si>
  <si>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</si>
  <si>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</si>
  <si>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</si>
  <si>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</si>
  <si>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</si>
  <si>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</si>
  <si>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</si>
  <si>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</si>
  <si>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</si>
  <si>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</si>
  <si>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</si>
  <si>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</si>
  <si>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</si>
  <si>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</si>
  <si>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</si>
  <si>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</si>
  <si>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</si>
  <si>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</si>
  <si>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</si>
  <si>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</si>
  <si>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</si>
  <si>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</si>
  <si>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</si>
  <si>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</si>
  <si>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</si>
  <si>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</si>
  <si>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</si>
  <si>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</si>
  <si>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</si>
  <si>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</si>
  <si>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</si>
  <si>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</si>
  <si>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</si>
  <si>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</si>
  <si>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</si>
  <si>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</si>
  <si>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</si>
  <si>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</si>
  <si>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</si>
  <si>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</si>
  <si>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</si>
  <si>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</si>
  <si>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</si>
  <si>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</si>
  <si>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</si>
  <si>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</si>
  <si>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</si>
  <si>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</si>
  <si>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</si>
  <si>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</si>
  <si>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</si>
  <si>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</si>
  <si>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</si>
  <si>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</si>
  <si>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</si>
  <si>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</si>
  <si>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</si>
  <si>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</si>
  <si>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</si>
  <si>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</si>
  <si>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</si>
  <si>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</si>
  <si>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</si>
  <si>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</si>
  <si>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</si>
  <si>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</si>
  <si>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</si>
  <si>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</si>
  <si>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</si>
  <si>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</si>
  <si>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</si>
  <si>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</si>
  <si>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</si>
  <si>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</si>
  <si>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</si>
  <si>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</si>
  <si>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</si>
  <si>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</si>
  <si>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</si>
  <si>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</si>
  <si>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</si>
  <si>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</si>
  <si>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</si>
  <si>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</si>
  <si>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</si>
  <si>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</si>
  <si>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</si>
  <si>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</si>
  <si>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</si>
  <si>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</si>
  <si>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</si>
  <si>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</si>
  <si>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</si>
  <si>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</si>
  <si>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</si>
  <si>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</si>
  <si>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</si>
  <si>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</si>
  <si>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</si>
  <si>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</si>
  <si>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</si>
  <si>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</si>
  <si>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</si>
  <si>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</si>
  <si>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</si>
  <si>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</si>
  <si>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</si>
  <si>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</si>
  <si>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</si>
  <si>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</si>
  <si>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</si>
  <si>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</si>
  <si>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</si>
  <si>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</si>
  <si>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</si>
  <si>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</si>
  <si>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</si>
  <si>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</si>
  <si>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</si>
  <si>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</si>
  <si>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</si>
  <si>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</si>
  <si>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</si>
  <si>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</si>
  <si>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</si>
  <si>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</si>
  <si>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</si>
  <si>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</si>
  <si>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</si>
  <si>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</si>
  <si>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</si>
  <si>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</si>
  <si>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</si>
  <si>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</si>
  <si>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</si>
  <si>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</si>
  <si>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</si>
  <si>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</si>
  <si>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</si>
  <si>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</si>
  <si>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</si>
  <si>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</si>
  <si>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</si>
  <si>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</si>
  <si>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</si>
  <si>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</si>
  <si>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</si>
  <si>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</si>
  <si>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</si>
  <si>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</si>
  <si>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</si>
  <si>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</si>
  <si>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</si>
  <si>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</si>
  <si>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</si>
  <si>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</si>
  <si>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</si>
  <si>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</si>
  <si>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</si>
  <si>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</si>
  <si>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</si>
  <si>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</si>
  <si>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</si>
  <si>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</si>
  <si>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</si>
  <si>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</si>
  <si>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</si>
  <si>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</si>
  <si>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</si>
  <si>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</si>
  <si>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</si>
  <si>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</si>
  <si>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</si>
  <si>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</si>
  <si>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</si>
  <si>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</si>
  <si>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</si>
  <si>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</si>
  <si>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</si>
  <si>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</si>
  <si>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</si>
  <si>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</si>
  <si>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</si>
  <si>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</si>
  <si>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</si>
  <si>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</si>
  <si>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</si>
  <si>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</si>
  <si>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</si>
  <si>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</si>
  <si>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</si>
  <si>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</si>
  <si>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</si>
  <si>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</si>
  <si>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</si>
  <si>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</si>
  <si>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</si>
  <si>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</si>
  <si>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</si>
  <si>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</si>
  <si>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</si>
  <si>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</si>
  <si>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</si>
  <si>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</si>
  <si>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</si>
  <si>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</si>
  <si>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</si>
  <si>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</si>
  <si>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</si>
  <si>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</si>
  <si>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</si>
  <si>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</si>
  <si>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</si>
  <si>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</si>
  <si>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</si>
  <si>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</si>
  <si>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</si>
  <si>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</si>
  <si>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</si>
  <si>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</si>
  <si>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</si>
  <si>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</si>
  <si>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</si>
  <si>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</si>
  <si>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</si>
  <si>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</si>
  <si>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</si>
  <si>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</si>
  <si>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</si>
  <si>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</si>
  <si>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</si>
  <si>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</si>
  <si>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</si>
  <si>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</si>
  <si>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</si>
  <si>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</si>
  <si>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</si>
  <si>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</si>
  <si>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</si>
  <si>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</si>
  <si>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</si>
  <si>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</si>
  <si>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</si>
  <si>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</si>
  <si>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</si>
  <si>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</si>
  <si>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</si>
  <si>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</si>
  <si>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</si>
  <si>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</si>
  <si>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</si>
  <si>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</si>
  <si>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</si>
  <si>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</si>
  <si>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</si>
  <si>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</si>
  <si>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</si>
  <si>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</si>
  <si>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</si>
  <si>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</si>
  <si>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</si>
  <si>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</si>
  <si>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</si>
  <si>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</si>
  <si>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</si>
  <si>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</si>
  <si>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</si>
  <si>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</si>
  <si>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</si>
  <si>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</si>
  <si>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</si>
  <si>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</si>
  <si>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</si>
  <si>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</si>
  <si>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</si>
  <si>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</si>
  <si>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</si>
  <si>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</si>
  <si>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</si>
  <si>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</si>
  <si>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</si>
  <si>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</si>
  <si>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</si>
  <si>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</si>
  <si>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</si>
  <si>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</si>
  <si>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</si>
  <si>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</si>
  <si>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</si>
  <si>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</si>
  <si>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</si>
  <si>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</si>
  <si>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</si>
  <si>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</si>
  <si>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</si>
  <si>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</si>
  <si>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</si>
  <si>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</si>
  <si>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</si>
  <si>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</si>
  <si>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</si>
  <si>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</si>
  <si>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</si>
  <si>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</si>
  <si>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</si>
  <si>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</si>
  <si>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</si>
  <si>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</si>
  <si>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</si>
  <si>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</si>
  <si>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</si>
  <si>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</si>
  <si>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</si>
  <si>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</si>
  <si>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</si>
  <si>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</si>
  <si>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</si>
  <si>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</si>
  <si>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</si>
  <si>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</si>
  <si>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</si>
  <si>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</si>
  <si>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</si>
  <si>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</si>
  <si>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</si>
  <si>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</si>
  <si>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</si>
  <si>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</si>
  <si>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</si>
  <si>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</si>
  <si>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</si>
  <si>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</si>
  <si>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</si>
  <si>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</si>
  <si>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</si>
  <si>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</si>
  <si>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</si>
  <si>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</si>
  <si>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</si>
  <si>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</si>
  <si>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</si>
  <si>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</si>
  <si>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</si>
  <si>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</si>
  <si>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</si>
  <si>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</si>
  <si>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</si>
  <si>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</si>
  <si>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</si>
  <si>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</si>
  <si>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</si>
  <si>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</si>
  <si>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</si>
  <si>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</si>
  <si>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</si>
  <si>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</si>
  <si>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</si>
  <si>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</si>
  <si>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</si>
  <si>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</si>
  <si>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</si>
  <si>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</si>
  <si>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</si>
  <si>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</si>
  <si>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</si>
  <si>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</si>
  <si>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</si>
  <si>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</si>
  <si>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</si>
  <si>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</si>
  <si>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</si>
  <si>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</si>
  <si>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</si>
  <si>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</si>
  <si>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</si>
  <si>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</si>
  <si>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</si>
  <si>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</si>
  <si>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</si>
  <si>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</si>
  <si>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</si>
  <si>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</si>
  <si>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</si>
  <si>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</si>
  <si>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</si>
  <si>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</si>
  <si>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</si>
  <si>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</si>
  <si>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</si>
  <si>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</si>
  <si>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</si>
  <si>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</si>
  <si>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</si>
  <si>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</si>
  <si>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</si>
  <si>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</si>
  <si>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</si>
  <si>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</si>
  <si>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</si>
  <si>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</si>
  <si>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</si>
  <si>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</si>
  <si>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</si>
  <si>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</si>
  <si>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</si>
  <si>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</si>
  <si>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</si>
  <si>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</si>
  <si>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</si>
  <si>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</si>
  <si>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</si>
  <si>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</si>
  <si>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</si>
  <si>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</si>
  <si>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</si>
  <si>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</si>
  <si>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</si>
  <si>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</si>
  <si>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</si>
  <si>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</si>
  <si>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</si>
  <si>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</si>
  <si>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</si>
  <si>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</si>
  <si>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</si>
  <si>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</si>
  <si>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</si>
  <si>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</si>
  <si>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</si>
  <si>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</si>
  <si>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</si>
  <si>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</si>
  <si>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</si>
  <si>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</si>
  <si>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</si>
  <si>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</si>
  <si>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</si>
  <si>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</si>
  <si>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</si>
  <si>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</si>
  <si>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</si>
  <si>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</si>
  <si>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</si>
  <si>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</si>
  <si>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</si>
  <si>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</si>
  <si>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</si>
  <si>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</si>
  <si>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</si>
  <si>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</si>
  <si>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</si>
  <si>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</si>
  <si>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</si>
  <si>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</si>
  <si>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</si>
  <si>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</si>
  <si>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</si>
  <si>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</si>
  <si>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</si>
  <si>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</si>
  <si>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</si>
  <si>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</si>
  <si>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</si>
  <si>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</si>
  <si>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</si>
  <si>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</si>
  <si>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</si>
  <si>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</si>
  <si>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</si>
  <si>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</si>
  <si>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</si>
  <si>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</si>
  <si>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</si>
  <si>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</si>
  <si>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</si>
  <si>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</si>
  <si>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</si>
  <si>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</si>
  <si>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</si>
  <si>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</si>
  <si>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</si>
  <si>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</si>
  <si>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</si>
  <si>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</si>
  <si>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</si>
  <si>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</si>
  <si>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</si>
  <si>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</si>
  <si>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</si>
  <si>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</si>
  <si>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</si>
  <si>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</si>
  <si>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</si>
  <si>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</si>
  <si>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</si>
  <si>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</si>
  <si>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</si>
  <si>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</si>
  <si>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</si>
  <si>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</si>
  <si>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</si>
  <si>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</si>
  <si>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</si>
  <si>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</si>
  <si>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</si>
  <si>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</si>
  <si>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</si>
  <si>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</si>
  <si>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</si>
  <si>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</si>
  <si>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</si>
  <si>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</si>
  <si>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</si>
  <si>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</si>
  <si>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</si>
  <si>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</si>
  <si>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</si>
  <si>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</si>
  <si>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</si>
  <si>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</si>
  <si>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</si>
  <si>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</si>
  <si>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</si>
  <si>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</si>
  <si>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</si>
  <si>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</si>
  <si>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</si>
  <si>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</si>
  <si>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</si>
  <si>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</si>
  <si>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</si>
  <si>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</si>
  <si>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</si>
  <si>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</si>
  <si>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</si>
  <si>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</si>
  <si>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</si>
  <si>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</si>
  <si>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</si>
  <si>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</si>
  <si>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</si>
  <si>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</si>
  <si>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</si>
  <si>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</si>
  <si>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</si>
  <si>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</si>
  <si>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</si>
  <si>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</si>
  <si>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</si>
  <si>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</si>
  <si>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</si>
  <si>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</si>
  <si>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</si>
  <si>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</si>
  <si>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</si>
  <si>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</si>
  <si>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</si>
  <si>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</si>
  <si>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</si>
  <si>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</si>
  <si>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</si>
  <si>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</si>
  <si>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</si>
  <si>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</si>
  <si>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</si>
  <si>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</si>
  <si>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</si>
  <si>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</si>
  <si>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</si>
  <si>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</si>
  <si>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</si>
  <si>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</si>
  <si>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</si>
  <si>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</si>
  <si>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</si>
  <si>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</si>
  <si>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</si>
  <si>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</si>
  <si>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</si>
  <si>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</si>
  <si>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</si>
  <si>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</si>
  <si>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</si>
  <si>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</si>
  <si>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</si>
  <si>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</si>
  <si>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</si>
  <si>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</si>
  <si>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</si>
  <si>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</si>
  <si>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</si>
  <si>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</si>
  <si>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</si>
  <si>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</si>
  <si>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</si>
  <si>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</si>
  <si>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</si>
  <si>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</si>
  <si>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</si>
  <si>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</si>
  <si>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</si>
  <si>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</si>
  <si>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</si>
  <si>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</si>
  <si>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</si>
  <si>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</si>
  <si>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</si>
  <si>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</si>
  <si>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</si>
  <si>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</si>
  <si>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</si>
  <si>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</si>
  <si>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</si>
  <si>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</si>
  <si>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</si>
  <si>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</si>
  <si>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</si>
  <si>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</si>
  <si>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</si>
  <si>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</si>
  <si>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</si>
  <si>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</si>
  <si>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</si>
  <si>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</si>
  <si>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</si>
  <si>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</si>
  <si>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</si>
  <si>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</si>
  <si>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</si>
  <si>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</si>
  <si>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</si>
  <si>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</si>
  <si>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</si>
  <si>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</si>
  <si>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</si>
  <si>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</si>
  <si>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</si>
  <si>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</si>
  <si>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</si>
  <si>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</si>
  <si>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</si>
  <si>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</si>
  <si>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</si>
  <si>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</si>
  <si>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</si>
  <si>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</si>
  <si>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</si>
  <si>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</si>
  <si>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</si>
  <si>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</si>
  <si>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</si>
  <si>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</si>
  <si>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</si>
  <si>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</si>
  <si>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</si>
  <si>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</si>
  <si>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</si>
  <si>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</si>
  <si>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</si>
  <si>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</si>
  <si>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</si>
  <si>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</si>
  <si>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</si>
  <si>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</si>
  <si>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</si>
  <si>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</si>
  <si>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</si>
  <si>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</si>
  <si>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</si>
  <si>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</si>
  <si>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</si>
  <si>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</si>
  <si>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</si>
  <si>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</si>
  <si>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</si>
  <si>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</si>
  <si>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</si>
  <si>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</si>
  <si>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</si>
  <si>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</si>
  <si>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</si>
  <si>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</si>
  <si>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</si>
  <si>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</si>
  <si>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</si>
  <si>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</si>
  <si>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</si>
  <si>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</si>
  <si>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</si>
  <si>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</si>
  <si>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</si>
  <si>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</si>
  <si>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</si>
  <si>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</si>
  <si>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</si>
  <si>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</si>
  <si>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</si>
  <si>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</si>
  <si>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</si>
  <si>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</si>
  <si>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</si>
  <si>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</si>
  <si>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</si>
  <si>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</si>
  <si>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</si>
  <si>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</si>
  <si>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</si>
  <si>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</si>
  <si>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</si>
  <si>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</si>
  <si>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</si>
  <si>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</si>
  <si>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</si>
  <si>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</si>
  <si>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</si>
  <si>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</si>
  <si>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</si>
  <si>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</si>
  <si>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</si>
  <si>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</si>
  <si>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</si>
  <si>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</si>
  <si>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</si>
  <si>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</si>
  <si>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</si>
  <si>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</si>
  <si>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</si>
  <si>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</si>
  <si>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</si>
  <si>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</si>
  <si>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</si>
  <si>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</si>
  <si>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</si>
  <si>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</si>
  <si>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</si>
  <si>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</si>
  <si>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</si>
  <si>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</si>
  <si>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</si>
  <si>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</si>
  <si>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</si>
  <si>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</si>
  <si>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</si>
  <si>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</si>
  <si>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</si>
  <si>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</si>
  <si>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</si>
  <si>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</si>
  <si>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</si>
  <si>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</si>
  <si>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</si>
  <si>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</si>
  <si>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</si>
  <si>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</si>
  <si>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</si>
  <si>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</si>
  <si>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</si>
  <si>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</si>
  <si>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</si>
  <si>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</si>
  <si>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</si>
  <si>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</si>
  <si>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</si>
  <si>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</si>
  <si>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</si>
  <si>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</si>
  <si>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</si>
  <si>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</si>
  <si>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</si>
  <si>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</si>
  <si>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</si>
  <si>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</si>
  <si>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</si>
  <si>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</si>
  <si>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</si>
  <si>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</si>
  <si>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</si>
  <si>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</si>
  <si>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</si>
  <si>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</si>
  <si>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</si>
  <si>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</si>
  <si>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</si>
  <si>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</si>
  <si>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</si>
  <si>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</si>
  <si>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</si>
  <si>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</si>
  <si>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</si>
  <si>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</si>
  <si>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</si>
  <si>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</si>
  <si>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</si>
  <si>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</si>
  <si>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</si>
  <si>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</si>
  <si>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</si>
  <si>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</si>
  <si>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</si>
  <si>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</si>
  <si>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</si>
  <si>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</si>
  <si>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</si>
  <si>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</si>
  <si>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</si>
  <si>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</si>
  <si>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</si>
  <si>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</si>
  <si>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</si>
  <si>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</si>
  <si>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</si>
  <si>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</si>
  <si>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</si>
  <si>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</si>
  <si>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</si>
  <si>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</si>
  <si>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</si>
  <si>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</si>
  <si>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</si>
  <si>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</si>
  <si>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</si>
  <si>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</si>
  <si>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</si>
  <si>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</si>
  <si>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</si>
  <si>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</si>
  <si>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</si>
  <si>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</si>
  <si>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</si>
  <si>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</si>
  <si>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</si>
  <si>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</si>
  <si>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</si>
  <si>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</si>
  <si>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</si>
  <si>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</si>
  <si>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</si>
  <si>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</si>
  <si>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</si>
  <si>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</si>
  <si>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</si>
  <si>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</si>
  <si>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</si>
  <si>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</si>
  <si>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</si>
  <si>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</si>
  <si>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</si>
  <si>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</si>
  <si>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</si>
  <si>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</si>
  <si>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</si>
  <si>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</si>
  <si>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</si>
  <si>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</si>
  <si>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</si>
  <si>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</si>
  <si>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</si>
  <si>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</si>
  <si>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</si>
  <si>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</si>
  <si>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</si>
  <si>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</si>
  <si>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</si>
  <si>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</si>
  <si>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</si>
  <si>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</si>
  <si>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</si>
  <si>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</si>
  <si>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</si>
  <si>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</si>
  <si>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</si>
  <si>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</si>
  <si>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</si>
  <si>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</si>
  <si>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</si>
  <si>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</si>
  <si>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</si>
  <si>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</si>
  <si>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</si>
  <si>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</si>
  <si>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</si>
  <si>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</si>
  <si>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</si>
  <si>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</si>
  <si>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</si>
  <si>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</si>
  <si>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</si>
  <si>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</si>
  <si>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</si>
  <si>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</si>
  <si>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</si>
  <si>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</si>
  <si>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</si>
  <si>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</si>
  <si>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</si>
  <si>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</si>
  <si>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</si>
  <si>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</si>
  <si>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</si>
  <si>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</si>
  <si>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</si>
  <si>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</si>
  <si>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</si>
  <si>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</si>
  <si>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</si>
  <si>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</si>
  <si>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</si>
  <si>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</si>
  <si>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</si>
  <si>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</si>
  <si>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</si>
  <si>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</si>
  <si>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</si>
  <si>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</si>
  <si>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</si>
  <si>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</si>
  <si>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</si>
  <si>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</si>
  <si>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</si>
  <si>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</si>
  <si>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</si>
  <si>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</si>
  <si>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</si>
  <si>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</si>
  <si>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</si>
  <si>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</si>
  <si>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</si>
  <si>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</si>
  <si>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</si>
  <si>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</si>
  <si>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</si>
  <si>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</si>
  <si>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</si>
  <si>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</si>
  <si>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</si>
  <si>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</si>
  <si>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</si>
  <si>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</si>
  <si>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</si>
  <si>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</si>
  <si>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</si>
  <si>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</si>
  <si>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</si>
  <si>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</si>
  <si>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</si>
  <si>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</si>
  <si>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</si>
  <si>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</si>
  <si>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</si>
  <si>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</si>
  <si>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</si>
  <si>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</si>
  <si>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</si>
  <si>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</si>
  <si>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</si>
  <si>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</si>
  <si>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</si>
  <si>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</si>
  <si>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</si>
  <si>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</si>
  <si>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</si>
  <si>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</si>
  <si>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</si>
  <si>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</si>
  <si>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</si>
  <si>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</si>
  <si>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</si>
  <si>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</si>
  <si>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</si>
  <si>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</si>
  <si>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</si>
  <si>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</si>
  <si>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</si>
  <si>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</si>
  <si>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</si>
  <si>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</si>
  <si>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</si>
  <si>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</si>
  <si>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</si>
  <si>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</si>
  <si>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</si>
  <si>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</si>
  <si>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</si>
  <si>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</si>
  <si>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</si>
  <si>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</si>
  <si>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</si>
  <si>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</si>
  <si>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</si>
  <si>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</si>
  <si>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</si>
  <si>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</si>
  <si>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</si>
  <si>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</si>
  <si>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</si>
  <si>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</si>
  <si>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</si>
  <si>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</si>
  <si>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</si>
  <si>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</si>
  <si>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</si>
  <si>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</si>
  <si>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</si>
  <si>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</si>
  <si>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</si>
  <si>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</si>
  <si>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</si>
  <si>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</si>
  <si>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</si>
  <si>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</si>
  <si>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</si>
  <si>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</si>
  <si>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</si>
  <si>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</si>
  <si>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</si>
  <si>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</si>
  <si>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</si>
  <si>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</si>
  <si>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</si>
  <si>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</si>
  <si>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</si>
  <si>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</si>
  <si>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</si>
  <si>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</si>
  <si>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</si>
  <si>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</si>
  <si>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</si>
  <si>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</si>
  <si>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</si>
  <si>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</si>
  <si>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</si>
  <si>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</si>
  <si>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</si>
  <si>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</si>
  <si>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</si>
  <si>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</si>
  <si>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</si>
  <si>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</si>
  <si>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</si>
  <si>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</si>
  <si>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</si>
  <si>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</si>
  <si>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</si>
  <si>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</si>
  <si>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</si>
  <si>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</si>
  <si>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</si>
  <si>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</si>
  <si>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</si>
  <si>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</si>
  <si>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</si>
  <si>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</si>
  <si>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</si>
  <si>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</si>
  <si>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</si>
  <si>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</si>
  <si>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</si>
  <si>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</si>
  <si>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</si>
  <si>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</si>
  <si>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</si>
  <si>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</si>
  <si>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</si>
  <si>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</si>
  <si>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</si>
  <si>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</si>
  <si>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</si>
  <si>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</si>
  <si>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</si>
  <si>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</si>
  <si>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</si>
  <si>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</si>
  <si>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</si>
  <si>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</si>
  <si>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</si>
  <si>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</si>
  <si>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</si>
  <si>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</si>
  <si>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</si>
  <si>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</si>
  <si>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</si>
  <si>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</si>
  <si>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</si>
  <si>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</si>
  <si>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</si>
  <si>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</si>
  <si>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</si>
  <si>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</si>
  <si>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</si>
  <si>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</si>
  <si>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</si>
  <si>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</si>
  <si>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</si>
  <si>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</si>
  <si>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</si>
  <si>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</si>
  <si>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</si>
  <si>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</si>
  <si>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</si>
  <si>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</si>
  <si>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</si>
  <si>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</si>
  <si>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</si>
  <si>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</si>
  <si>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</si>
  <si>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</si>
  <si>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</si>
  <si>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</si>
  <si>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</si>
  <si>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</si>
  <si>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</si>
  <si>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</si>
  <si>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</si>
  <si>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</si>
  <si>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</si>
  <si>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</si>
  <si>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</si>
  <si>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</si>
  <si>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</si>
  <si>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</si>
  <si>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</si>
  <si>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</si>
  <si>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</si>
  <si>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</si>
  <si>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</si>
  <si>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</si>
  <si>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</si>
  <si>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</si>
  <si>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</si>
  <si>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</si>
  <si>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</si>
  <si>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</si>
  <si>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</si>
  <si>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</si>
  <si>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</si>
  <si>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</si>
  <si>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</si>
  <si>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</si>
  <si>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</si>
  <si>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</si>
  <si>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</si>
  <si>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</si>
  <si>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</si>
  <si>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</si>
  <si>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</si>
  <si>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</si>
  <si>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</si>
  <si>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</si>
  <si>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</si>
  <si>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</si>
  <si>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</si>
  <si>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</si>
  <si>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</si>
  <si>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</si>
  <si>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</si>
  <si>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</si>
  <si>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</si>
  <si>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</si>
  <si>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</si>
  <si>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</si>
  <si>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</si>
  <si>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</si>
  <si>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</si>
  <si>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</si>
  <si>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</si>
  <si>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</si>
  <si>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</si>
  <si>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</si>
  <si>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</si>
  <si>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</si>
  <si>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</si>
  <si>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</si>
  <si>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</si>
  <si>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</si>
  <si>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</si>
  <si>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</si>
  <si>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</si>
  <si>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</si>
  <si>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</si>
  <si>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</si>
  <si>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</si>
  <si>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</si>
  <si>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</si>
  <si>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</si>
  <si>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</si>
  <si>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</si>
  <si>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</si>
  <si>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</si>
  <si>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</si>
  <si>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</si>
  <si>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</si>
  <si>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</si>
  <si>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</si>
  <si>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</si>
  <si>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</si>
  <si>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</si>
  <si>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</si>
  <si>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</si>
  <si>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</si>
  <si>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</si>
  <si>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</si>
  <si>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</si>
  <si>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</si>
  <si>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</si>
  <si>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</si>
  <si>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</si>
  <si>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</si>
  <si>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</si>
  <si>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</si>
  <si>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</si>
  <si>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</si>
  <si>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</si>
  <si>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</si>
  <si>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</si>
  <si>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</si>
  <si>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</si>
  <si>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</si>
  <si>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</si>
  <si>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</si>
  <si>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</si>
  <si>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</si>
  <si>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</si>
  <si>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</si>
  <si>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</si>
  <si>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</si>
  <si>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</si>
  <si>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</si>
  <si>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</si>
  <si>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</si>
  <si>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</si>
  <si>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</si>
  <si>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</si>
  <si>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</si>
  <si>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</si>
  <si>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</si>
  <si>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</si>
  <si>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</si>
  <si>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</si>
  <si>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</si>
  <si>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</si>
  <si>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</si>
  <si>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</si>
  <si>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</si>
  <si>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</si>
  <si>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</si>
  <si>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</si>
  <si>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</si>
  <si>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</si>
  <si>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</si>
  <si>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</si>
  <si>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</si>
  <si>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</si>
  <si>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</si>
  <si>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</si>
  <si>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</si>
  <si>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</si>
  <si>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</si>
  <si>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</si>
  <si>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</si>
  <si>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</si>
  <si>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</si>
  <si>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</si>
  <si>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</si>
  <si>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</si>
  <si>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</si>
  <si>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</si>
  <si>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</si>
  <si>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</si>
  <si>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</si>
  <si>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</si>
  <si>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</si>
  <si>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</si>
  <si>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</si>
  <si>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</si>
  <si>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</si>
  <si>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</si>
  <si>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</si>
  <si>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</si>
  <si>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</si>
  <si>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</si>
  <si>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</si>
  <si>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</si>
  <si>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</si>
  <si>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</si>
  <si>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</si>
  <si>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</si>
  <si>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</si>
  <si>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</si>
  <si>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</si>
  <si>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</si>
  <si>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</si>
  <si>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</si>
  <si>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</si>
  <si>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</si>
  <si>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</si>
  <si>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</si>
  <si>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</si>
  <si>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</si>
  <si>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</si>
  <si>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</si>
  <si>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</si>
  <si>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</si>
  <si>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</si>
  <si>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</si>
  <si>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</si>
  <si>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</si>
  <si>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</si>
  <si>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</si>
  <si>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</si>
  <si>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</si>
  <si>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</si>
  <si>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</si>
  <si>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</si>
  <si>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</si>
  <si>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</si>
  <si>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</si>
  <si>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</si>
  <si>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</si>
  <si>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</si>
  <si>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</si>
  <si>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</si>
  <si>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</si>
  <si>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</si>
  <si>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</si>
  <si>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</si>
  <si>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</si>
  <si>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</si>
  <si>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</si>
  <si>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</si>
  <si>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</si>
  <si>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</si>
  <si>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</si>
  <si>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</si>
  <si>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</si>
  <si>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</si>
  <si>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</si>
  <si>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</si>
  <si>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</si>
  <si>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</si>
  <si>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</si>
  <si>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</si>
  <si>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</si>
  <si>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</si>
  <si>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</si>
  <si>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</si>
  <si>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</si>
  <si>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</si>
  <si>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</si>
  <si>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</si>
  <si>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</si>
  <si>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</si>
  <si>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</si>
  <si>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</si>
  <si>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</si>
  <si>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</si>
  <si>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</si>
  <si>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</si>
  <si>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</si>
  <si>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</si>
  <si>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</si>
  <si>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</si>
  <si>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</si>
  <si>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</si>
  <si>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</si>
  <si>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</si>
  <si>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</si>
  <si>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</si>
  <si>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</si>
  <si>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</si>
  <si>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</si>
  <si>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</si>
  <si>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</si>
  <si>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</si>
  <si>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</si>
  <si>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</si>
  <si>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</si>
  <si>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</si>
  <si>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</si>
  <si>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</si>
  <si>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</si>
  <si>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</si>
  <si>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</si>
  <si>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</si>
  <si>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</si>
  <si>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</si>
  <si>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</si>
  <si>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</si>
  <si>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</si>
  <si>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</si>
  <si>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</si>
  <si>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</si>
  <si>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</si>
  <si>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</si>
  <si>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</si>
  <si>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</si>
  <si>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</si>
  <si>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</si>
  <si>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</si>
  <si>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</si>
  <si>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</si>
  <si>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</si>
  <si>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</si>
  <si>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</si>
  <si>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</si>
  <si>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</si>
  <si>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</si>
  <si>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</si>
  <si>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</si>
  <si>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</si>
  <si>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</si>
  <si>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</si>
  <si>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</si>
  <si>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</si>
  <si>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</si>
  <si>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</si>
  <si>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</si>
  <si>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</si>
  <si>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</si>
  <si>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</si>
  <si>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</si>
  <si>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</si>
  <si>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</si>
  <si>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</si>
  <si>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</si>
  <si>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</si>
  <si>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</si>
  <si>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</si>
  <si>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</si>
  <si>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</si>
  <si>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</si>
  <si>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</si>
  <si>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</si>
  <si>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</si>
  <si>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</si>
  <si>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</si>
  <si>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</si>
  <si>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</si>
  <si>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</si>
  <si>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</si>
  <si>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</si>
  <si>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</si>
  <si>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</si>
  <si>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</si>
  <si>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</si>
  <si>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</si>
  <si>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</si>
  <si>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</si>
  <si>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</si>
  <si>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</si>
  <si>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</si>
  <si>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</si>
  <si>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</si>
  <si>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</si>
  <si>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</si>
  <si>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</si>
  <si>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</si>
  <si>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</si>
  <si>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</si>
  <si>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</si>
  <si>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</si>
  <si>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</si>
  <si>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</si>
  <si>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</si>
  <si>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</si>
  <si>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</si>
  <si>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</si>
  <si>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</si>
  <si>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</si>
  <si>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</si>
  <si>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</si>
  <si>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</si>
  <si>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</si>
  <si>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</si>
  <si>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</si>
  <si>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</si>
  <si>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</si>
  <si>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</si>
  <si>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</si>
  <si>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</si>
  <si>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</si>
  <si>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</si>
  <si>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</si>
  <si>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</si>
  <si>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</si>
  <si>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</si>
  <si>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</si>
  <si>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</si>
  <si>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</si>
  <si>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</si>
  <si>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</si>
  <si>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</si>
  <si>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</si>
  <si>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</si>
  <si>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</si>
  <si>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</si>
  <si>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</si>
  <si>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</si>
  <si>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</si>
  <si>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</si>
  <si>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</si>
  <si>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</si>
  <si>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</si>
  <si>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</si>
  <si>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</si>
  <si>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</si>
  <si>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</si>
  <si>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</si>
  <si>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</si>
  <si>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</si>
  <si>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</si>
  <si>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</si>
  <si>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</si>
  <si>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</si>
  <si>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</si>
  <si>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</si>
  <si>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</si>
  <si>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</si>
  <si>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</si>
  <si>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</si>
  <si>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</si>
  <si>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</si>
  <si>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</si>
  <si>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</si>
  <si>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</si>
  <si>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</si>
  <si>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</si>
  <si>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</si>
  <si>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</si>
  <si>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</si>
  <si>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</si>
  <si>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</si>
  <si>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</si>
  <si>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</si>
  <si>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</si>
  <si>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</si>
  <si>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</si>
  <si>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</si>
  <si>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</si>
  <si>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</si>
  <si>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</si>
  <si>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</si>
  <si>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</si>
  <si>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</si>
  <si>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</si>
  <si>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</si>
  <si>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</si>
  <si>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</si>
  <si>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</si>
  <si>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</si>
  <si>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</si>
  <si>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</si>
  <si>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</si>
  <si>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</si>
  <si>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</si>
  <si>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</si>
  <si>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</si>
  <si>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</si>
  <si>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</si>
  <si>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</si>
  <si>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</si>
  <si>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</si>
  <si>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</si>
  <si>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</si>
  <si>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</si>
  <si>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</si>
  <si>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</si>
  <si>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</si>
  <si>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</si>
  <si>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</si>
  <si>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</si>
  <si>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</si>
  <si>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</si>
  <si>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</si>
  <si>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</si>
  <si>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</si>
  <si>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</si>
  <si>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</si>
  <si>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</si>
  <si>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</si>
  <si>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</si>
  <si>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</si>
  <si>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</si>
  <si>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</si>
  <si>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</si>
  <si>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</si>
  <si>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</si>
  <si>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</si>
  <si>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</si>
  <si>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</si>
  <si>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</si>
  <si>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</si>
  <si>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</si>
  <si>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</si>
  <si>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</si>
  <si>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</si>
  <si>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</si>
  <si>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</si>
  <si>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</si>
  <si>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</si>
  <si>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</si>
  <si>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</si>
  <si>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</si>
  <si>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</si>
  <si>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</si>
  <si>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</si>
  <si>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</si>
  <si>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</si>
  <si>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</si>
  <si>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</si>
  <si>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</si>
  <si>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</si>
  <si>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</si>
  <si>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</si>
  <si>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</si>
  <si>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</si>
  <si>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</si>
  <si>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</si>
  <si>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</si>
  <si>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</si>
  <si>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</si>
  <si>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</si>
  <si>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</si>
  <si>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</si>
  <si>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</si>
  <si>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</si>
  <si>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</si>
  <si>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</si>
  <si>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</si>
  <si>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</si>
  <si>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</si>
  <si>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</si>
  <si>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</si>
  <si>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</si>
  <si>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</si>
  <si>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</si>
  <si>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</si>
  <si>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</si>
  <si>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</si>
  <si>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</si>
  <si>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</si>
  <si>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</si>
  <si>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</si>
  <si>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</si>
  <si>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</si>
  <si>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</si>
  <si>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</si>
  <si>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</si>
  <si>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</si>
  <si>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</si>
  <si>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</si>
  <si>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</si>
  <si>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</si>
  <si>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</si>
  <si>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</si>
  <si>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</si>
  <si>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</si>
  <si>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</si>
  <si>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</si>
  <si>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</si>
  <si>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</si>
  <si>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</si>
  <si>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</si>
  <si>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</si>
  <si>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</si>
  <si>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</si>
  <si>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</si>
  <si>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</si>
  <si>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</si>
  <si>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</si>
  <si>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</si>
  <si>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</si>
  <si>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</si>
  <si>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</si>
  <si>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</si>
  <si>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</si>
  <si>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</si>
  <si>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</si>
  <si>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</si>
  <si>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</si>
  <si>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</si>
  <si>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</si>
  <si>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</si>
  <si>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</si>
  <si>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</si>
  <si>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</si>
  <si>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</si>
  <si>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</si>
  <si>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</si>
  <si>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</si>
  <si>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</si>
  <si>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</si>
  <si>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</si>
  <si>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</si>
  <si>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</si>
  <si>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</si>
  <si>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</si>
  <si>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</si>
  <si>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</si>
  <si>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</si>
  <si>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</si>
  <si>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</si>
  <si>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</si>
  <si>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</si>
  <si>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</si>
  <si>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</si>
  <si>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</si>
  <si>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</si>
  <si>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</si>
  <si>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</si>
  <si>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</si>
  <si>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</si>
  <si>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</si>
  <si>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</si>
  <si>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</si>
  <si>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</si>
  <si>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</si>
  <si>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</si>
  <si>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</si>
  <si>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</si>
  <si>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</si>
  <si>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</si>
  <si>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</si>
  <si>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</si>
  <si>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</si>
  <si>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</si>
  <si>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</si>
  <si>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</si>
  <si>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</si>
  <si>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</si>
  <si>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</si>
  <si>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</si>
  <si>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</si>
  <si>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</si>
  <si>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</si>
  <si>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</si>
  <si>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</si>
  <si>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</si>
  <si>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</si>
  <si>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</si>
  <si>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</si>
  <si>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</si>
  <si>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</si>
  <si>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</si>
  <si>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</si>
  <si>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</si>
  <si>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</si>
  <si>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</si>
  <si>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</si>
  <si>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</si>
  <si>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</si>
  <si>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</si>
  <si>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</si>
  <si>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</si>
  <si>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</si>
  <si>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</si>
  <si>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</si>
  <si>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</si>
  <si>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</si>
  <si>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</si>
  <si>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</si>
  <si>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</si>
  <si>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</si>
  <si>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</si>
  <si>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</si>
  <si>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</si>
  <si>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</si>
  <si>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</si>
  <si>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</si>
  <si>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</si>
  <si>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</si>
  <si>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</si>
  <si>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</si>
  <si>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</si>
  <si>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</si>
  <si>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</si>
  <si>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</si>
  <si>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</si>
  <si>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</si>
  <si>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</si>
  <si>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</si>
  <si>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</si>
  <si>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</si>
  <si>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</si>
  <si>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</si>
  <si>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</si>
  <si>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</si>
  <si>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</si>
  <si>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</si>
  <si>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</si>
  <si>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</si>
  <si>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</si>
  <si>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</si>
  <si>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</si>
  <si>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</si>
  <si>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</si>
  <si>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</si>
  <si>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</si>
  <si>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</si>
  <si>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</si>
  <si>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</si>
  <si>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</si>
  <si>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</si>
  <si>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</si>
  <si>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</si>
  <si>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</si>
  <si>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</si>
  <si>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</si>
  <si>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</si>
  <si>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</si>
  <si>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</si>
  <si>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</si>
  <si>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</si>
  <si>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</si>
  <si>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</si>
  <si>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</si>
  <si>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</si>
  <si>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</si>
  <si>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</si>
  <si>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</si>
  <si>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</si>
  <si>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</si>
  <si>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</si>
  <si>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</si>
  <si>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</si>
  <si>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</si>
  <si>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</si>
  <si>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</si>
  <si>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</si>
  <si>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</si>
  <si>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</si>
  <si>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</si>
  <si>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</si>
  <si>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</si>
  <si>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</si>
  <si>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</si>
  <si>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</si>
  <si>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</si>
  <si>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</si>
  <si>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</si>
  <si>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</si>
  <si>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</si>
  <si>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</si>
  <si>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</si>
  <si>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</si>
  <si>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</si>
  <si>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</si>
  <si>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</si>
  <si>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</si>
  <si>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</si>
  <si>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</si>
  <si>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</si>
  <si>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</si>
  <si>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</si>
  <si>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</si>
  <si>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</si>
  <si>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</si>
  <si>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</si>
  <si>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</si>
  <si>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</si>
  <si>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</si>
  <si>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</si>
  <si>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</si>
  <si>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</si>
  <si>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</si>
  <si>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</si>
  <si>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</si>
  <si>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</si>
  <si>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</si>
  <si>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</si>
  <si>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</si>
  <si>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</si>
  <si>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</si>
  <si>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</si>
  <si>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</si>
  <si>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</si>
  <si>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</si>
  <si>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</si>
  <si>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</si>
  <si>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</si>
  <si>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</si>
  <si>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</si>
  <si>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</si>
  <si>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</si>
  <si>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</si>
  <si>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</si>
  <si>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</si>
  <si>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</si>
  <si>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</si>
  <si>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</si>
  <si>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</si>
  <si>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</si>
  <si>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</si>
  <si>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</si>
  <si>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</si>
  <si>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</si>
  <si>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</si>
  <si>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</si>
  <si>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</si>
  <si>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</si>
  <si>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</si>
  <si>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</si>
  <si>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</si>
  <si>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</si>
  <si>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</si>
  <si>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</si>
  <si>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</si>
  <si>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</si>
  <si>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</si>
  <si>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</si>
  <si>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</si>
  <si>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</si>
  <si>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</si>
  <si>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</si>
  <si>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</si>
  <si>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</si>
  <si>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</si>
  <si>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</si>
  <si>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</si>
  <si>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</si>
  <si>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</si>
  <si>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</si>
  <si>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</si>
  <si>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</si>
  <si>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</si>
  <si>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</si>
  <si>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</si>
  <si>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</si>
  <si>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</si>
  <si>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</si>
  <si>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</si>
  <si>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</si>
  <si>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</si>
  <si>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</si>
  <si>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</si>
  <si>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</si>
  <si>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</si>
  <si>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</si>
  <si>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</si>
  <si>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</si>
  <si>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</si>
  <si>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</si>
  <si>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</si>
  <si>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</si>
  <si>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</si>
  <si>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</si>
  <si>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</si>
  <si>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</si>
  <si>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</si>
  <si>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</si>
  <si>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</si>
  <si>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</si>
  <si>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</si>
  <si>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</si>
  <si>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</si>
  <si>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</si>
  <si>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</si>
  <si>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</si>
  <si>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</si>
  <si>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</si>
  <si>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</si>
  <si>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</si>
  <si>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</si>
  <si>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</si>
  <si>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</si>
  <si>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</si>
  <si>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</si>
  <si>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</si>
  <si>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</si>
  <si>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</si>
  <si>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</si>
  <si>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</si>
  <si>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</si>
  <si>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</si>
  <si>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</si>
  <si>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</si>
  <si>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</si>
  <si>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</si>
  <si>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</si>
  <si>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</si>
  <si>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</si>
  <si>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</si>
  <si>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</si>
  <si>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</si>
  <si>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</si>
  <si>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</si>
  <si>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</si>
  <si>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</si>
  <si>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</si>
  <si>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</si>
  <si>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</si>
  <si>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</si>
  <si>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</si>
  <si>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</si>
  <si>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</si>
  <si>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</si>
  <si>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</si>
  <si>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</si>
  <si>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</si>
  <si>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</si>
  <si>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</si>
  <si>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</si>
  <si>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</si>
  <si>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</si>
  <si>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</si>
  <si>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</si>
  <si>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</si>
  <si>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</si>
  <si>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</si>
  <si>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</si>
  <si>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</si>
  <si>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</si>
  <si>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</si>
  <si>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</si>
  <si>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</si>
  <si>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</si>
  <si>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</si>
  <si>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</si>
  <si>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</si>
  <si>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</si>
  <si>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</si>
  <si>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</si>
  <si>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</si>
  <si>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</si>
  <si>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</si>
  <si>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</si>
  <si>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</si>
  <si>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</si>
  <si>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</si>
  <si>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</si>
  <si>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</si>
  <si>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</si>
  <si>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</si>
  <si>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</si>
  <si>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</si>
  <si>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</si>
  <si>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</si>
  <si>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</si>
  <si>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</si>
  <si>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</si>
  <si>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</si>
  <si>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</si>
  <si>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</si>
  <si>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</si>
  <si>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</si>
  <si>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</si>
  <si>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</si>
  <si>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</si>
  <si>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</si>
  <si>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</si>
  <si>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</si>
  <si>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</si>
  <si>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</si>
  <si>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</si>
  <si>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</si>
  <si>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</si>
  <si>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</si>
  <si>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</si>
  <si>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</si>
  <si>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</si>
  <si>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</si>
  <si>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</si>
  <si>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</si>
  <si>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</si>
  <si>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</si>
  <si>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</si>
  <si>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</si>
  <si>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</si>
  <si>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</si>
  <si>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</si>
  <si>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</si>
  <si>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</si>
  <si>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</si>
  <si>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</si>
  <si>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</si>
  <si>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</si>
  <si>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</si>
  <si>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</si>
  <si>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</si>
  <si>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</si>
  <si>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</si>
  <si>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</si>
  <si>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</si>
  <si>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</si>
  <si>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</si>
  <si>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</si>
  <si>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</si>
  <si>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</si>
  <si>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</si>
  <si>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</si>
  <si>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</si>
  <si>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</si>
  <si>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</si>
  <si>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</si>
  <si>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</si>
  <si>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</si>
  <si>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</si>
  <si>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</si>
  <si>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</si>
  <si>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</si>
  <si>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</si>
  <si>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</si>
  <si>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</si>
  <si>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</si>
  <si>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</si>
  <si>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</si>
  <si>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</si>
  <si>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</si>
  <si>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</si>
  <si>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</si>
  <si>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</si>
  <si>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</si>
  <si>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</si>
  <si>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</si>
  <si>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</si>
  <si>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</si>
  <si>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</si>
  <si>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</si>
  <si>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</si>
  <si>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</si>
  <si>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</si>
  <si>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</si>
  <si>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</si>
  <si>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</si>
  <si>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</si>
  <si>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</si>
  <si>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</si>
  <si>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</si>
  <si>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</si>
  <si>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</si>
  <si>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</si>
  <si>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</si>
  <si>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</si>
  <si>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</si>
  <si>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</si>
  <si>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</si>
  <si>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</si>
  <si>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</si>
  <si>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</si>
  <si>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</si>
  <si>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</si>
  <si>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</si>
  <si>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</si>
  <si>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</si>
  <si>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</si>
  <si>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</si>
  <si>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</si>
  <si>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</si>
  <si>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</si>
  <si>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</si>
  <si>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</si>
  <si>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</si>
  <si>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</si>
  <si>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</si>
  <si>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</si>
  <si>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</si>
  <si>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</si>
  <si>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</si>
  <si>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</si>
  <si>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</si>
  <si>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</si>
  <si>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</si>
  <si>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</si>
  <si>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</si>
  <si>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</si>
  <si>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</si>
  <si>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</si>
  <si>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</si>
  <si>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</si>
  <si>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</si>
  <si>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</si>
  <si>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</si>
  <si>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</si>
  <si>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</si>
  <si>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</si>
  <si>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</si>
  <si>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</si>
  <si>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</si>
  <si>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</si>
  <si>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</si>
  <si>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</si>
  <si>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</si>
  <si>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</si>
  <si>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</si>
  <si>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</si>
  <si>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</si>
  <si>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</si>
  <si>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</si>
  <si>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</si>
  <si>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</si>
  <si>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</si>
  <si>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</si>
  <si>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</si>
  <si>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</si>
  <si>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</si>
  <si>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</si>
  <si>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</si>
  <si>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</si>
  <si>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</si>
  <si>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</si>
  <si>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</si>
  <si>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</si>
  <si>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</si>
  <si>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</si>
  <si>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</si>
  <si>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</si>
  <si>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</si>
  <si>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</si>
  <si>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</si>
  <si>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</si>
  <si>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</si>
  <si>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</si>
  <si>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</si>
  <si>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</si>
  <si>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</si>
  <si>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</si>
  <si>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</si>
  <si>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</si>
  <si>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</si>
  <si>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</si>
  <si>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</si>
  <si>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</si>
  <si>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</si>
  <si>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</si>
  <si>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</si>
  <si>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</si>
  <si>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</si>
  <si>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</si>
  <si>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</si>
  <si>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</si>
  <si>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</si>
  <si>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</si>
  <si>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</si>
  <si>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</si>
  <si>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</si>
  <si>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</si>
  <si>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</si>
  <si>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</si>
  <si>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</si>
  <si>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</si>
  <si>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</si>
  <si>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</si>
  <si>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</si>
  <si>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</si>
  <si>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</si>
  <si>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</si>
  <si>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</si>
  <si>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</si>
  <si>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</si>
  <si>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</si>
  <si>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</si>
  <si>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</si>
  <si>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</si>
  <si>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</si>
  <si>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</si>
  <si>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</si>
  <si>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</si>
  <si>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</si>
  <si>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</si>
  <si>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</si>
  <si>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</si>
  <si>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</si>
  <si>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</si>
  <si>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</si>
  <si>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</si>
  <si>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</si>
  <si>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</si>
  <si>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</si>
  <si>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</si>
  <si>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</si>
  <si>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</si>
  <si>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</si>
  <si>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</si>
  <si>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</si>
  <si>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</si>
  <si>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</si>
  <si>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</si>
  <si>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</si>
  <si>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</si>
  <si>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</si>
  <si>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</si>
  <si>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</si>
  <si>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</si>
  <si>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</si>
  <si>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</si>
  <si>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</si>
  <si>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</si>
  <si>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</si>
  <si>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</si>
  <si>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</si>
  <si>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</si>
  <si>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</si>
  <si>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</si>
  <si>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</si>
  <si>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</si>
  <si>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</si>
  <si>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</si>
  <si>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</si>
  <si>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</si>
  <si>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</si>
  <si>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</si>
  <si>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</si>
  <si>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</si>
  <si>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</si>
  <si>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</si>
  <si>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</si>
  <si>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</si>
  <si>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</si>
  <si>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</si>
  <si>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</si>
  <si>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</si>
  <si>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</si>
  <si>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</si>
  <si>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</si>
  <si>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</si>
  <si>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</si>
  <si>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</si>
  <si>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</si>
  <si>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</si>
  <si>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</si>
  <si>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</si>
  <si>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</si>
  <si>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</si>
  <si>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</si>
  <si>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</si>
  <si>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</si>
  <si>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</si>
  <si>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</si>
  <si>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</si>
  <si>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</si>
  <si>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</si>
  <si>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</si>
  <si>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</si>
  <si>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</si>
  <si>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</si>
  <si>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</si>
  <si>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</si>
  <si>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</si>
  <si>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</si>
  <si>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</si>
  <si>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</si>
  <si>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</si>
  <si>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</si>
  <si>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</si>
  <si>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</si>
  <si>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</si>
  <si>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</si>
  <si>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</si>
  <si>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</si>
  <si>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</si>
  <si>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</si>
  <si>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</si>
  <si>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</si>
  <si>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</si>
  <si>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</si>
  <si>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</si>
  <si>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</si>
  <si>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</si>
  <si>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</si>
  <si>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</si>
  <si>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</si>
  <si>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</si>
  <si>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</si>
  <si>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</si>
  <si>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</si>
  <si>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</si>
  <si>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</si>
  <si>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</si>
  <si>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</si>
  <si>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</si>
  <si>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</si>
  <si>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</si>
  <si>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</si>
  <si>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</si>
  <si>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</si>
  <si>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</si>
  <si>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</si>
  <si>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</si>
  <si>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</si>
  <si>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</si>
  <si>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</si>
  <si>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</si>
  <si>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</si>
  <si>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</si>
  <si>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</si>
  <si>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</si>
  <si>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</si>
  <si>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</si>
  <si>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</si>
  <si>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</si>
  <si>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</si>
  <si>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</si>
  <si>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</si>
  <si>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</si>
  <si>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</si>
  <si>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</si>
  <si>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</si>
  <si>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</si>
  <si>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</si>
  <si>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</si>
  <si>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</si>
  <si>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</si>
  <si>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</si>
  <si>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</si>
  <si>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</si>
  <si>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</si>
  <si>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</si>
  <si>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</si>
  <si>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</si>
  <si>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</si>
  <si>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</si>
  <si>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</si>
  <si>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</si>
  <si>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</si>
  <si>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</si>
  <si>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</si>
  <si>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</si>
  <si>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</si>
  <si>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</si>
  <si>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</si>
  <si>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</si>
  <si>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</si>
  <si>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</si>
  <si>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</si>
  <si>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</si>
  <si>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</si>
  <si>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</si>
  <si>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</si>
  <si>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</si>
  <si>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</si>
  <si>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</si>
  <si>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</si>
  <si>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</si>
  <si>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</si>
  <si>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</si>
  <si>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</si>
  <si>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</si>
  <si>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</si>
  <si>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</si>
  <si>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</si>
  <si>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</si>
  <si>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</si>
  <si>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</si>
  <si>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</si>
  <si>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</si>
  <si>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</si>
  <si>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</si>
  <si>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</si>
  <si>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</si>
  <si>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</si>
  <si>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</si>
  <si>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</si>
  <si>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</si>
  <si>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</si>
  <si>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</si>
  <si>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</si>
  <si>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</si>
  <si>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</si>
  <si>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</si>
  <si>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</si>
  <si>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</si>
  <si>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</si>
  <si>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</si>
  <si>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</si>
  <si>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</si>
  <si>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</si>
  <si>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</si>
  <si>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</si>
  <si>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</si>
  <si>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</si>
  <si>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</si>
  <si>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</si>
  <si>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</si>
  <si>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</si>
  <si>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</si>
  <si>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</si>
  <si>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</si>
  <si>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</si>
  <si>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</si>
  <si>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</si>
  <si>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</si>
  <si>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</si>
  <si>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</si>
  <si>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</si>
  <si>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</si>
  <si>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</si>
  <si>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</si>
  <si>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</si>
  <si>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</si>
  <si>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</si>
  <si>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</si>
  <si>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</si>
  <si>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</si>
  <si>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</si>
  <si>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</si>
  <si>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</si>
  <si>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</si>
  <si>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</si>
  <si>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</si>
  <si>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</si>
  <si>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</si>
  <si>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</si>
  <si>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</si>
  <si>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</si>
  <si>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</si>
  <si>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</si>
  <si>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</si>
  <si>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</si>
  <si>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</si>
  <si>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</si>
  <si>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</si>
  <si>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</si>
  <si>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</si>
  <si>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</si>
  <si>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</si>
  <si>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</si>
  <si>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</si>
  <si>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</si>
  <si>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</si>
  <si>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</si>
  <si>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</si>
  <si>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</si>
  <si>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</si>
  <si>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</si>
  <si>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</si>
  <si>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</si>
  <si>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</si>
  <si>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</si>
  <si>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</si>
  <si>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</si>
  <si>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</si>
  <si>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</si>
  <si>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</si>
  <si>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</si>
  <si>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</si>
  <si>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</si>
  <si>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</si>
  <si>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</si>
  <si>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</si>
  <si>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</si>
  <si>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</si>
  <si>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</si>
  <si>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</si>
  <si>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</si>
  <si>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</si>
  <si>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</si>
  <si>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</si>
  <si>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</si>
  <si>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</si>
  <si>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</si>
  <si>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</si>
  <si>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</si>
  <si>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</si>
  <si>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</si>
  <si>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</si>
  <si>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</si>
  <si>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</si>
  <si>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</si>
  <si>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</si>
  <si>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</si>
  <si>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</si>
  <si>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</si>
  <si>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</si>
  <si>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</si>
  <si>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</si>
  <si>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</si>
  <si>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</si>
  <si>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</si>
  <si>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</si>
  <si>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</si>
  <si>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</si>
  <si>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</si>
  <si>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</si>
  <si>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</si>
  <si>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</si>
  <si>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</si>
  <si>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</si>
  <si>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</si>
  <si>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</si>
  <si>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</si>
  <si>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</si>
  <si>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</si>
  <si>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</si>
  <si>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</si>
  <si>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</si>
  <si>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</si>
  <si>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</si>
  <si>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</si>
  <si>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</si>
  <si>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</si>
  <si>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</si>
  <si>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</si>
  <si>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</si>
  <si>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</si>
  <si>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</si>
  <si>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</si>
  <si>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</si>
  <si>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</si>
  <si>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</si>
  <si>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</si>
  <si>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</si>
  <si>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</si>
  <si>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</si>
  <si>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</si>
  <si>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</si>
  <si>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</si>
  <si>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</si>
  <si>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</si>
  <si>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</si>
  <si>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</si>
  <si>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</si>
  <si>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</si>
  <si>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</si>
  <si>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</si>
  <si>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</si>
  <si>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</si>
  <si>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</si>
  <si>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</si>
  <si>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</si>
  <si>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</si>
  <si>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</si>
  <si>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</si>
  <si>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</si>
  <si>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</si>
  <si>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</si>
  <si>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</si>
  <si>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</si>
  <si>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</si>
  <si>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</si>
  <si>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</si>
  <si>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</si>
  <si>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</si>
  <si>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</si>
  <si>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</si>
  <si>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</si>
  <si>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</si>
  <si>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</si>
  <si>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</si>
  <si>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</si>
  <si>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</si>
  <si>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</si>
  <si>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</si>
  <si>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</si>
  <si>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</si>
  <si>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</si>
  <si>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</si>
  <si>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</si>
  <si>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</si>
  <si>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</si>
  <si>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</si>
  <si>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</si>
  <si>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</si>
  <si>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</si>
  <si>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</si>
  <si>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</si>
  <si>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</si>
  <si>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</si>
  <si>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</si>
  <si>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</si>
  <si>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</si>
  <si>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</si>
  <si>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</si>
  <si>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</si>
  <si>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</si>
  <si>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</si>
  <si>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</si>
  <si>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</si>
  <si>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</si>
  <si>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</si>
  <si>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</si>
  <si>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</si>
  <si>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</si>
  <si>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</si>
  <si>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</si>
  <si>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</si>
  <si>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</si>
  <si>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</si>
  <si>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</si>
  <si>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</si>
  <si>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</si>
  <si>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</si>
  <si>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</si>
  <si>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</si>
  <si>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</si>
  <si>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</si>
  <si>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</si>
  <si>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</si>
  <si>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</si>
  <si>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</si>
  <si>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</si>
  <si>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</si>
  <si>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</si>
  <si>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</si>
  <si>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</si>
  <si>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</si>
  <si>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</si>
  <si>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</si>
  <si>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</si>
  <si>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</si>
  <si>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</si>
  <si>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</si>
  <si>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</si>
  <si>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</si>
  <si>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</si>
  <si>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</si>
  <si>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</si>
  <si>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</si>
  <si>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</si>
  <si>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</si>
  <si>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</si>
  <si>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</si>
  <si>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</si>
  <si>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</si>
  <si>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</si>
  <si>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</si>
  <si>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</si>
  <si>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</si>
  <si>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</si>
  <si>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</si>
  <si>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</si>
  <si>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</si>
  <si>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</si>
  <si>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</si>
  <si>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</si>
  <si>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</si>
  <si>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</si>
  <si>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</si>
  <si>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</si>
  <si>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</si>
  <si>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</si>
  <si>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</si>
  <si>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</si>
  <si>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</si>
  <si>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</si>
  <si>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</si>
  <si>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</si>
  <si>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</si>
  <si>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</si>
  <si>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</si>
  <si>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</si>
  <si>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</si>
  <si>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</si>
  <si>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</si>
  <si>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</si>
  <si>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</si>
  <si>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</si>
  <si>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</si>
  <si>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</si>
  <si>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</si>
  <si>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</si>
  <si>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</si>
  <si>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</si>
  <si>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</si>
  <si>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</si>
  <si>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</si>
  <si>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</si>
  <si>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</si>
  <si>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</si>
  <si>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</si>
  <si>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</si>
  <si>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</si>
  <si>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</si>
  <si>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</si>
  <si>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</si>
  <si>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</si>
  <si>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</si>
  <si>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</si>
  <si>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</si>
  <si>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</si>
  <si>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</si>
  <si>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</si>
  <si>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</si>
  <si>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</si>
  <si>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</si>
  <si>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</si>
  <si>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</si>
  <si>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</si>
  <si>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</si>
  <si>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</si>
  <si>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</si>
  <si>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</si>
  <si>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</si>
  <si>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</si>
  <si>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</si>
  <si>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</si>
  <si>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</si>
  <si>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</si>
  <si>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</si>
  <si>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</si>
  <si>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</si>
  <si>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</si>
  <si>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</si>
  <si>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</si>
  <si>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</si>
  <si>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</si>
  <si>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</si>
  <si>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</si>
  <si>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</si>
  <si>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</si>
  <si>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</si>
  <si>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</si>
  <si>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</si>
  <si>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</si>
  <si>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</si>
  <si>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</si>
  <si>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</si>
  <si>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</si>
  <si>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</si>
  <si>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</si>
  <si>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</si>
  <si>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</si>
  <si>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</si>
  <si>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</si>
  <si>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</si>
  <si>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</si>
  <si>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</si>
  <si>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</si>
  <si>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</si>
  <si>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</si>
  <si>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</si>
  <si>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</si>
  <si>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</si>
  <si>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</si>
  <si>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</si>
  <si>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</si>
  <si>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</si>
  <si>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</si>
  <si>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</si>
  <si>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</si>
  <si>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</si>
  <si>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</si>
  <si>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</si>
  <si>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</si>
  <si>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</si>
  <si>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</si>
  <si>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</si>
  <si>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</si>
  <si>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</si>
  <si>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</si>
  <si>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</si>
  <si>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</si>
  <si>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</si>
  <si>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</si>
  <si>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</si>
  <si>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</si>
  <si>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</si>
  <si>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</si>
  <si>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</si>
  <si>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</si>
  <si>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</si>
  <si>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</si>
  <si>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</si>
  <si>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</si>
  <si>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</si>
  <si>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</si>
  <si>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</si>
  <si>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</si>
  <si>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</si>
  <si>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</si>
  <si>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</si>
  <si>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</si>
  <si>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</si>
  <si>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</si>
  <si>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</si>
  <si>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</si>
  <si>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</si>
  <si>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</si>
  <si>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</si>
  <si>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</si>
  <si>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</si>
  <si>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</si>
  <si>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</si>
  <si>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</si>
  <si>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</si>
  <si>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</si>
  <si>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</si>
  <si>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</si>
  <si>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</si>
  <si>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</si>
  <si>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</si>
  <si>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</si>
  <si>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</si>
  <si>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</si>
  <si>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</si>
  <si>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</si>
  <si>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</si>
  <si>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</si>
  <si>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</si>
  <si>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</si>
  <si>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</si>
  <si>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</si>
  <si>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</si>
  <si>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</si>
  <si>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</si>
  <si>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</si>
  <si>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</si>
  <si>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</si>
  <si>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</si>
  <si>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</si>
  <si>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</si>
  <si>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</si>
  <si>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</si>
  <si>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</si>
  <si>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</si>
  <si>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</si>
  <si>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</si>
  <si>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</si>
  <si>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</si>
  <si>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</si>
  <si>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</si>
  <si>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</si>
  <si>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</si>
  <si>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</si>
  <si>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</si>
  <si>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</si>
  <si>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</si>
  <si>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</si>
  <si>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</si>
  <si>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</si>
  <si>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</si>
  <si>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</si>
  <si>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</si>
  <si>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</si>
  <si>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</si>
  <si>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</si>
  <si>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</si>
  <si>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</si>
  <si>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</si>
  <si>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</si>
  <si>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</si>
  <si>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</si>
  <si>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</si>
  <si>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</si>
  <si>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</si>
  <si>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</si>
  <si>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</si>
  <si>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</si>
  <si>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</si>
  <si>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</si>
  <si>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</si>
  <si>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</si>
  <si>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</si>
  <si>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</si>
  <si>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</si>
  <si>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</si>
  <si>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</si>
  <si>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</si>
  <si>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</si>
  <si>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</si>
  <si>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</si>
  <si>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</si>
  <si>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</si>
  <si>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</si>
  <si>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</si>
  <si>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</si>
  <si>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</si>
  <si>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</si>
  <si>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</si>
  <si>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</si>
  <si>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</si>
  <si>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</si>
  <si>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</si>
  <si>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</si>
  <si>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</si>
  <si>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</si>
  <si>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</si>
  <si>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</si>
  <si>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</si>
  <si>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</si>
  <si>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</si>
  <si>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</si>
  <si>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</si>
  <si>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</si>
  <si>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</si>
  <si>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</si>
  <si>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</si>
  <si>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</si>
  <si>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</si>
  <si>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</si>
  <si>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</si>
  <si>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</si>
  <si>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</si>
  <si>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</si>
  <si>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</si>
  <si>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</si>
  <si>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</si>
  <si>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</si>
  <si>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</si>
  <si>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</si>
  <si>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</si>
  <si>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</si>
  <si>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</si>
  <si>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</si>
  <si>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</si>
  <si>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</si>
  <si>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</si>
  <si>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</si>
  <si>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</si>
  <si>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</si>
  <si>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</si>
  <si>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</si>
  <si>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</si>
  <si>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</si>
  <si>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</si>
  <si>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</si>
  <si>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</si>
  <si>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</si>
  <si>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</si>
  <si>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</si>
  <si>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</si>
  <si>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</si>
  <si>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</si>
  <si>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</si>
  <si>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</si>
  <si>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</si>
  <si>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</si>
  <si>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</si>
  <si>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</si>
  <si>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</si>
  <si>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</si>
  <si>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</si>
  <si>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</si>
  <si>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</si>
  <si>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</si>
  <si>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</si>
  <si>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</si>
  <si>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</si>
  <si>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</si>
  <si>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</si>
  <si>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</si>
  <si>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</si>
  <si>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</si>
  <si>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</si>
  <si>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</si>
  <si>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</si>
  <si>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</si>
  <si>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</si>
  <si>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</si>
  <si>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</si>
  <si>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</si>
  <si>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</si>
  <si>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</si>
  <si>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</si>
  <si>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</si>
  <si>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</si>
  <si>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</si>
  <si>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</si>
  <si>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</si>
  <si>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</si>
  <si>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</si>
  <si>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</si>
  <si>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</si>
  <si>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</si>
  <si>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</si>
  <si>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</si>
  <si>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</si>
  <si>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</si>
  <si>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</si>
  <si>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</si>
  <si>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</si>
  <si>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</si>
  <si>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</si>
  <si>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</si>
  <si>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</si>
  <si>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</si>
  <si>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</si>
  <si>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</si>
  <si>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</si>
  <si>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</si>
  <si>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</si>
  <si>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</si>
  <si>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</si>
  <si>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</si>
  <si>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</si>
  <si>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</si>
  <si>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</si>
  <si>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</si>
  <si>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</si>
  <si>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</si>
  <si>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</si>
  <si>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</si>
  <si>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</si>
  <si>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</si>
  <si>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</si>
  <si>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</si>
  <si>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</si>
  <si>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</si>
  <si>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</si>
  <si>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</si>
  <si>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</si>
  <si>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</si>
  <si>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</si>
  <si>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</si>
  <si>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</si>
  <si>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</si>
  <si>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</si>
  <si>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</si>
  <si>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</si>
  <si>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</si>
  <si>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</si>
  <si>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</si>
  <si>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</si>
  <si>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</si>
  <si>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</si>
  <si>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</si>
  <si>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</si>
  <si>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</si>
  <si>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</si>
  <si>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</si>
  <si>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</si>
  <si>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</si>
  <si>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</si>
  <si>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</si>
  <si>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</si>
  <si>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</si>
  <si>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</si>
  <si>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</si>
  <si>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</si>
  <si>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</si>
  <si>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</si>
  <si>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</si>
  <si>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</si>
  <si>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</si>
  <si>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</si>
  <si>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</si>
  <si>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</si>
  <si>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</si>
  <si>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</si>
  <si>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</si>
  <si>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</si>
  <si>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</si>
  <si>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</si>
  <si>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</si>
  <si>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</si>
  <si>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</si>
  <si>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</si>
  <si>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</si>
  <si>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</si>
  <si>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</si>
  <si>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</si>
  <si>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</si>
  <si>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</si>
  <si>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</si>
  <si>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</si>
  <si>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</si>
  <si>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</si>
  <si>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</si>
  <si>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</si>
  <si>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</si>
  <si>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</si>
  <si>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</si>
  <si>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</si>
  <si>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</si>
  <si>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</si>
  <si>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</si>
  <si>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</si>
  <si>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</si>
  <si>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</si>
  <si>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</si>
  <si>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</si>
  <si>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</si>
  <si>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</si>
  <si>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</si>
  <si>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</si>
  <si>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</si>
  <si>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</si>
  <si>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</si>
  <si>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</si>
  <si>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</si>
  <si>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</si>
  <si>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</si>
  <si>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</si>
  <si>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</si>
  <si>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</si>
  <si>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</si>
  <si>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</si>
  <si>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</si>
  <si>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</si>
  <si>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</si>
  <si>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</si>
  <si>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</si>
  <si>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</si>
  <si>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</si>
  <si>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</si>
  <si>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</si>
  <si>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</si>
  <si>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</si>
  <si>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</si>
  <si>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</si>
  <si>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</si>
  <si>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</si>
  <si>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</si>
  <si>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</si>
  <si>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</si>
  <si>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</si>
  <si>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</si>
  <si>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</si>
  <si>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</si>
  <si>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</si>
  <si>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</si>
  <si>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</si>
  <si>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</si>
  <si>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</si>
  <si>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</si>
  <si>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</si>
  <si>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</si>
  <si>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</si>
  <si>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</si>
  <si>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</si>
  <si>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</si>
  <si>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</si>
  <si>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</si>
  <si>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</si>
  <si>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</si>
  <si>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</si>
  <si>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</si>
  <si>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</si>
  <si>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</si>
  <si>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</si>
  <si>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</si>
  <si>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</si>
  <si>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</si>
  <si>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</si>
  <si>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</si>
  <si>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</si>
  <si>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</si>
  <si>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</si>
  <si>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</si>
  <si>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</si>
  <si>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</si>
  <si>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</si>
  <si>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</si>
  <si>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</si>
  <si>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</si>
  <si>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</si>
  <si>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</si>
  <si>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</si>
  <si>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</si>
  <si>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</si>
  <si>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</si>
  <si>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</si>
  <si>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</si>
  <si>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</si>
  <si>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</si>
  <si>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</si>
  <si>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</si>
  <si>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</si>
  <si>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</si>
  <si>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</si>
  <si>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</si>
  <si>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</si>
  <si>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</si>
  <si>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</si>
  <si>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</si>
  <si>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</si>
  <si>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</si>
  <si>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</si>
  <si>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</si>
  <si>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</si>
  <si>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</si>
  <si>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</si>
  <si>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</si>
  <si>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</si>
  <si>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</si>
  <si>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</si>
  <si>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</si>
  <si>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</si>
  <si>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</si>
  <si>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</si>
  <si>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</si>
  <si>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</si>
  <si>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</si>
  <si>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</si>
  <si>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</si>
  <si>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</si>
  <si>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</si>
  <si>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</si>
  <si>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</si>
  <si>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</si>
  <si>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</si>
  <si>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</si>
  <si>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</si>
  <si>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</si>
  <si>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</si>
  <si>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</si>
  <si>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</si>
  <si>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</si>
  <si>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</si>
  <si>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</si>
  <si>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</si>
  <si>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</si>
  <si>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</si>
  <si>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</si>
  <si>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</si>
  <si>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</si>
  <si>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</si>
  <si>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</si>
  <si>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</si>
  <si>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</si>
  <si>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</si>
  <si>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</si>
  <si>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</si>
  <si>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</si>
  <si>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</si>
  <si>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</si>
  <si>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</si>
  <si>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</si>
  <si>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</si>
  <si>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</si>
  <si>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</si>
  <si>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</si>
  <si>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</si>
  <si>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</si>
  <si>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</si>
  <si>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</si>
  <si>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</si>
  <si>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</si>
  <si>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</si>
  <si>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</si>
  <si>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</si>
  <si>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</si>
  <si>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</si>
  <si>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</si>
  <si>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</si>
  <si>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</si>
  <si>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</si>
  <si>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</si>
  <si>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</si>
  <si>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</si>
  <si>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</si>
  <si>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</si>
  <si>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</si>
  <si>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</si>
  <si>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</si>
  <si>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</si>
  <si>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</si>
  <si>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</si>
  <si>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</si>
  <si>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</si>
  <si>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</si>
  <si>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</si>
  <si>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</si>
  <si>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</si>
  <si>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</si>
  <si>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</si>
  <si>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</si>
  <si>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</si>
  <si>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</si>
  <si>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</si>
  <si>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</si>
  <si>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</si>
  <si>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</si>
  <si>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</si>
  <si>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</si>
  <si>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</si>
  <si>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</si>
  <si>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</si>
  <si>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</si>
  <si>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</si>
  <si>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</si>
  <si>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</si>
  <si>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</si>
  <si>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</si>
  <si>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</si>
  <si>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</si>
  <si>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</si>
  <si>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</si>
  <si>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</si>
  <si>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</si>
  <si>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</si>
  <si>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</si>
  <si>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</si>
  <si>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</si>
  <si>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</si>
  <si>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</si>
  <si>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</si>
  <si>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</si>
  <si>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</si>
  <si>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</si>
  <si>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</si>
  <si>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</si>
  <si>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</si>
  <si>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</si>
  <si>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</si>
  <si>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</si>
  <si>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</si>
  <si>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</si>
  <si>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</si>
  <si>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</si>
  <si>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</si>
  <si>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</si>
  <si>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</si>
  <si>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</si>
  <si>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</si>
  <si>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</si>
  <si>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</si>
  <si>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</si>
  <si>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</si>
  <si>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</si>
  <si>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</si>
  <si>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</si>
  <si>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</si>
  <si>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</si>
  <si>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</si>
  <si>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</si>
  <si>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</si>
  <si>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</si>
  <si>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</si>
  <si>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</si>
  <si>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</si>
  <si>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</si>
  <si>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</si>
  <si>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</si>
  <si>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</si>
  <si>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</si>
  <si>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</si>
  <si>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</si>
  <si>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</si>
  <si>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</si>
  <si>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</si>
  <si>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</si>
  <si>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</si>
  <si>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</si>
  <si>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</si>
  <si>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</si>
  <si>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</si>
  <si>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</si>
  <si>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</si>
  <si>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</si>
  <si>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</si>
  <si>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</si>
  <si>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</si>
  <si>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</si>
  <si>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</si>
  <si>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</si>
  <si>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</si>
  <si>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</si>
  <si>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</si>
  <si>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</si>
  <si>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</si>
  <si>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</si>
  <si>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</si>
  <si>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</si>
  <si>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</si>
  <si>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</si>
  <si>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</si>
  <si>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</si>
  <si>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</si>
  <si>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</si>
  <si>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</si>
  <si>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</si>
  <si>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</si>
  <si>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</si>
  <si>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</si>
  <si>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</si>
  <si>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</si>
  <si>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</si>
  <si>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</si>
  <si>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</si>
  <si>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</si>
  <si>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</si>
  <si>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</si>
  <si>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</si>
  <si>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</si>
  <si>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</si>
  <si>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</si>
  <si>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</si>
  <si>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</si>
  <si>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</si>
  <si>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</si>
  <si>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</si>
  <si>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</si>
  <si>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</si>
  <si>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</si>
  <si>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</si>
  <si>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</si>
  <si>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</si>
  <si>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</si>
  <si>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</si>
  <si>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</si>
  <si>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</si>
  <si>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</si>
  <si>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</si>
  <si>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</si>
  <si>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</si>
  <si>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</si>
  <si>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</si>
  <si>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</si>
  <si>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</si>
  <si>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</si>
  <si>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</si>
  <si>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</si>
  <si>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</si>
  <si>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</si>
  <si>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</si>
  <si>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</si>
  <si>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</si>
  <si>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</si>
  <si>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</si>
  <si>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</si>
  <si>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</si>
  <si>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</si>
  <si>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</si>
  <si>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</si>
  <si>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</si>
  <si>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</si>
  <si>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</si>
  <si>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</si>
  <si>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</si>
  <si>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</si>
  <si>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</si>
  <si>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</si>
  <si>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</si>
  <si>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</si>
  <si>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</si>
  <si>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</si>
  <si>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</si>
  <si>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</si>
  <si>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</si>
  <si>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</si>
  <si>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</si>
  <si>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</si>
  <si>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</si>
  <si>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</si>
  <si>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</si>
  <si>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</si>
  <si>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</si>
  <si>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</si>
  <si>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</si>
  <si>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</si>
  <si>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</si>
  <si>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</si>
  <si>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</si>
  <si>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</si>
  <si>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</si>
  <si>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</si>
  <si>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</si>
  <si>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</si>
  <si>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</si>
  <si>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</si>
  <si>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</si>
  <si>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</si>
  <si>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</si>
  <si>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</si>
  <si>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</si>
  <si>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</si>
  <si>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</si>
  <si>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</si>
  <si>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</si>
  <si>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</si>
  <si>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</si>
  <si>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</si>
  <si>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</si>
  <si>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</si>
  <si>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</si>
  <si>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</si>
  <si>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</si>
  <si>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</si>
  <si>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</si>
  <si>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</si>
  <si>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</si>
  <si>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</si>
  <si>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</si>
  <si>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</si>
  <si>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</si>
  <si>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</si>
  <si>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</si>
  <si>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</si>
  <si>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</si>
  <si>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</si>
  <si>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</si>
  <si>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</si>
  <si>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</si>
  <si>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</si>
  <si>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</si>
  <si>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</si>
  <si>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</si>
  <si>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</si>
  <si>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</si>
  <si>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</si>
  <si>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</si>
  <si>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</si>
  <si>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</si>
  <si>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</si>
  <si>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</si>
  <si>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</si>
  <si>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</si>
  <si>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</si>
  <si>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</si>
  <si>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</si>
  <si>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</si>
  <si>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</si>
  <si>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</si>
  <si>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</si>
  <si>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</si>
  <si>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</si>
  <si>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</si>
  <si>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</si>
  <si>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</si>
  <si>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</si>
  <si>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</si>
  <si>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</si>
  <si>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</si>
  <si>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</si>
  <si>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</si>
  <si>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</si>
  <si>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</si>
  <si>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</si>
  <si>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</si>
  <si>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</si>
  <si>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</si>
  <si>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</si>
  <si>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</si>
  <si>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</si>
  <si>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</si>
  <si>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</si>
  <si>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</si>
  <si>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</si>
  <si>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</si>
  <si>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</si>
  <si>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</si>
  <si>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</si>
  <si>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</si>
  <si>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</si>
  <si>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</si>
  <si>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</si>
  <si>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</si>
  <si>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</si>
  <si>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</si>
  <si>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</si>
  <si>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</si>
  <si>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</si>
  <si>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</si>
  <si>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</si>
  <si>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</si>
  <si>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</si>
  <si>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</si>
  <si>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</si>
  <si>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</si>
  <si>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</si>
  <si>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</si>
  <si>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</si>
  <si>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</si>
  <si>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</si>
  <si>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</si>
  <si>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</si>
  <si>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</si>
  <si>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</si>
  <si>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</si>
  <si>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</si>
  <si>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</si>
  <si>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</si>
  <si>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</si>
  <si>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</si>
  <si>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</si>
  <si>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</si>
  <si>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</si>
  <si>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</si>
  <si>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</si>
  <si>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</si>
  <si>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</si>
  <si>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</si>
  <si>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</si>
  <si>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</si>
  <si>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</si>
  <si>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</si>
  <si>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</si>
  <si>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</si>
  <si>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</si>
  <si>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</si>
  <si>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</si>
  <si>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</si>
  <si>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</si>
  <si>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</si>
  <si>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</si>
  <si>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</si>
  <si>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</si>
  <si>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</si>
  <si>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</si>
  <si>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</si>
  <si>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</si>
  <si>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</si>
  <si>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</si>
  <si>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</si>
  <si>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</si>
  <si>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</si>
  <si>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</si>
  <si>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</si>
  <si>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</si>
  <si>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</si>
  <si>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</si>
  <si>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</si>
  <si>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</si>
  <si>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</si>
  <si>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</si>
  <si>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</si>
  <si>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</si>
  <si>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</si>
  <si>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</si>
  <si>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</si>
  <si>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</si>
  <si>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</si>
  <si>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</si>
  <si>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</si>
  <si>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</si>
  <si>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</si>
  <si>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</si>
  <si>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</si>
  <si>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</si>
  <si>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</si>
  <si>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</si>
  <si>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</si>
  <si>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</si>
  <si>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</si>
  <si>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</si>
  <si>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</si>
  <si>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</si>
  <si>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</si>
  <si>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</si>
  <si>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</si>
  <si>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</si>
  <si>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</si>
  <si>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</si>
  <si>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</si>
  <si>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</si>
  <si>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</si>
  <si>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</si>
  <si>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</si>
  <si>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</si>
  <si>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</si>
  <si>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</si>
  <si>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</si>
  <si>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</si>
  <si>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</si>
  <si>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</si>
  <si>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</si>
  <si>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</si>
  <si>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</si>
  <si>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</si>
  <si>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</si>
  <si>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</si>
  <si>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</si>
  <si>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</si>
  <si>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</si>
  <si>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</si>
  <si>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</si>
  <si>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</si>
  <si>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</si>
  <si>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</si>
  <si>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</si>
  <si>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</si>
  <si>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</si>
  <si>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</si>
  <si>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</si>
  <si>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</si>
  <si>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</si>
  <si>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</si>
  <si>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</si>
  <si>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</si>
  <si>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</si>
  <si>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</si>
  <si>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</si>
  <si>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</si>
  <si>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</si>
  <si>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</si>
  <si>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</si>
  <si>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</si>
  <si>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</si>
  <si>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</si>
  <si>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</si>
  <si>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</si>
  <si>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</si>
  <si>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</si>
  <si>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</si>
  <si>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</si>
  <si>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</si>
  <si>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</si>
  <si>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</si>
  <si>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</si>
  <si>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</si>
  <si>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</si>
  <si>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</si>
  <si>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</si>
  <si>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</si>
  <si>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</si>
  <si>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</si>
  <si>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</si>
  <si>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</si>
  <si>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</si>
  <si>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</si>
  <si>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</si>
  <si>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</si>
  <si>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</si>
  <si>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</si>
  <si>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</si>
  <si>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</si>
  <si>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</si>
  <si>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</si>
  <si>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</si>
  <si>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</si>
  <si>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</si>
  <si>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</si>
  <si>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</si>
  <si>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</si>
  <si>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</si>
  <si>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</si>
  <si>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</si>
  <si>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</si>
  <si>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</si>
  <si>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</si>
  <si>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</si>
  <si>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</si>
  <si>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</si>
  <si>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</si>
  <si>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</si>
  <si>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</si>
  <si>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</si>
  <si>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</si>
  <si>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</si>
  <si>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</si>
  <si>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</si>
  <si>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</si>
  <si>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</si>
  <si>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</si>
  <si>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</si>
  <si>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</si>
  <si>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</si>
  <si>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</si>
  <si>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</si>
  <si>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</si>
  <si>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</si>
  <si>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</si>
  <si>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</si>
  <si>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</si>
  <si>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</si>
  <si>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</si>
  <si>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</si>
  <si>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</si>
  <si>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</si>
  <si>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</si>
  <si>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</si>
  <si>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</si>
  <si>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</si>
  <si>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</si>
  <si>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</si>
  <si>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</si>
  <si>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</si>
  <si>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</si>
  <si>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</si>
  <si>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</si>
  <si>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</si>
  <si>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</si>
  <si>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</si>
  <si>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</si>
  <si>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</si>
  <si>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</si>
  <si>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</si>
  <si>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</si>
  <si>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</si>
  <si>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</si>
  <si>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</si>
  <si>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</si>
  <si>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</si>
  <si>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</si>
  <si>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</si>
  <si>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</si>
  <si>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</si>
  <si>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</si>
  <si>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</si>
  <si>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</si>
  <si>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</si>
  <si>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</si>
  <si>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</si>
  <si>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</si>
  <si>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</si>
  <si>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</si>
  <si>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</si>
  <si>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</si>
  <si>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</si>
  <si>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</si>
  <si>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</si>
  <si>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</si>
  <si>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</si>
  <si>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</si>
  <si>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</si>
  <si>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</si>
  <si>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</si>
  <si>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</si>
  <si>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</si>
  <si>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</si>
  <si>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</si>
  <si>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</si>
  <si>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</si>
  <si>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</si>
  <si>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</si>
  <si>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</si>
  <si>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</si>
  <si>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</si>
  <si>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</si>
  <si>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</si>
  <si>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</si>
  <si>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</si>
  <si>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</si>
  <si>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</si>
  <si>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</si>
  <si>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</si>
  <si>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</si>
  <si>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</si>
  <si>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</si>
  <si>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</si>
  <si>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</si>
  <si>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</si>
  <si>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</si>
  <si>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</si>
  <si>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</si>
  <si>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</si>
  <si>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</si>
  <si>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</si>
  <si>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</si>
  <si>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</si>
  <si>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</si>
  <si>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</si>
  <si>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</si>
  <si>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</si>
  <si>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</si>
  <si>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</si>
  <si>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</si>
  <si>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</si>
  <si>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</si>
  <si>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</si>
  <si>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</si>
  <si>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</si>
  <si>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</si>
  <si>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</si>
  <si>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</si>
  <si>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</si>
  <si>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</si>
  <si>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</si>
  <si>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</si>
  <si>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</si>
  <si>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</si>
  <si>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</si>
  <si>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</si>
  <si>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</si>
  <si>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</si>
  <si>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</si>
  <si>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</si>
  <si>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</si>
  <si>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</si>
  <si>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</si>
  <si>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</si>
  <si>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</si>
  <si>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</si>
  <si>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</si>
  <si>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</si>
  <si>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</si>
  <si>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</si>
  <si>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</si>
  <si>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</si>
  <si>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</si>
  <si>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</si>
  <si>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</si>
  <si>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</si>
  <si>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</si>
  <si>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</si>
  <si>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</si>
  <si>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</si>
  <si>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</si>
  <si>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</si>
  <si>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</si>
  <si>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</si>
  <si>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</si>
  <si>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</si>
  <si>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</si>
  <si>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</si>
  <si>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</si>
  <si>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</si>
  <si>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</si>
  <si>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</si>
  <si>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</si>
  <si>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</si>
  <si>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</si>
  <si>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</si>
  <si>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</si>
  <si>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</si>
  <si>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</si>
  <si>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</si>
  <si>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</si>
  <si>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</si>
  <si>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</si>
  <si>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</si>
  <si>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</si>
  <si>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</si>
  <si>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</si>
  <si>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</si>
  <si>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</si>
  <si>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</si>
  <si>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</si>
  <si>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</si>
  <si>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</si>
  <si>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</si>
  <si>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</si>
  <si>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</si>
  <si>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</si>
  <si>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</si>
  <si>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</si>
  <si>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</si>
  <si>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</si>
  <si>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</si>
  <si>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</si>
  <si>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</si>
  <si>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</si>
  <si>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</si>
  <si>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</si>
  <si>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</si>
  <si>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</si>
  <si>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</si>
  <si>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</si>
  <si>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</si>
  <si>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</si>
  <si>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</si>
  <si>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</si>
  <si>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</si>
  <si>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</si>
  <si>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</si>
  <si>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</si>
  <si>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</si>
  <si>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</si>
  <si>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</si>
  <si>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</si>
  <si>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</si>
  <si>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</si>
  <si>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</si>
  <si>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</si>
  <si>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</si>
  <si>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</si>
  <si>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</si>
  <si>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</si>
  <si>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</si>
  <si>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</si>
  <si>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</si>
  <si>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</si>
  <si>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</si>
  <si>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</si>
  <si>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</si>
  <si>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</si>
  <si>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</si>
  <si>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</si>
  <si>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</si>
  <si>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</si>
  <si>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</si>
  <si>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</si>
  <si>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</si>
  <si>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</si>
  <si>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</si>
  <si>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</si>
  <si>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</si>
  <si>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</si>
  <si>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</si>
  <si>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</si>
  <si>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</si>
  <si>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</si>
  <si>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</si>
  <si>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</si>
  <si>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</si>
  <si>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</si>
  <si>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</si>
  <si>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</si>
  <si>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</si>
  <si>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</si>
  <si>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</si>
  <si>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</si>
  <si>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</si>
  <si>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</si>
  <si>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</si>
  <si>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</si>
  <si>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</si>
  <si>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</si>
  <si>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</si>
  <si>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</si>
  <si>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</si>
  <si>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</si>
  <si>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</si>
  <si>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</si>
  <si>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</si>
  <si>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</si>
  <si>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</si>
  <si>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</si>
  <si>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</si>
  <si>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</si>
  <si>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</si>
  <si>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</si>
  <si>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</si>
  <si>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</si>
  <si>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</si>
  <si>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</si>
  <si>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</si>
  <si>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</si>
  <si>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</si>
  <si>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</si>
  <si>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</si>
  <si>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</si>
  <si>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</si>
  <si>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</si>
  <si>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</si>
  <si>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</si>
  <si>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</si>
  <si>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</si>
  <si>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</si>
  <si>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</si>
  <si>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</si>
  <si>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</si>
  <si>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</si>
  <si>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</si>
  <si>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</si>
  <si>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</si>
  <si>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</si>
  <si>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</si>
  <si>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</si>
  <si>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</si>
  <si>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</si>
  <si>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</si>
  <si>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</si>
  <si>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</si>
  <si>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</si>
  <si>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</si>
  <si>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</si>
  <si>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</si>
  <si>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</si>
  <si>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</si>
  <si>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</si>
  <si>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</si>
  <si>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</si>
  <si>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</si>
  <si>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</si>
  <si>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</si>
  <si>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</si>
  <si>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</si>
  <si>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</si>
  <si>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</si>
  <si>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</si>
  <si>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</si>
  <si>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</si>
  <si>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</si>
  <si>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</si>
  <si>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</si>
  <si>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</si>
  <si>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</si>
  <si>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</si>
  <si>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</si>
  <si>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</si>
  <si>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</si>
  <si>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</si>
  <si>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</si>
  <si>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</si>
  <si>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</si>
  <si>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</si>
  <si>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</si>
  <si>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</si>
  <si>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</si>
  <si>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</si>
  <si>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</si>
  <si>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</si>
  <si>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</si>
  <si>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</si>
  <si>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</si>
  <si>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</si>
  <si>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</si>
  <si>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</si>
  <si>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</si>
  <si>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</si>
  <si>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</si>
  <si>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</si>
  <si>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</si>
  <si>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</si>
  <si>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</si>
  <si>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</si>
  <si>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</si>
  <si>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</si>
  <si>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</si>
  <si>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</si>
  <si>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</si>
  <si>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</si>
  <si>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</si>
  <si>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</si>
  <si>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</si>
  <si>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</si>
  <si>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</si>
  <si>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</si>
  <si>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</si>
  <si>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</si>
  <si>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</si>
  <si>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</si>
  <si>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</si>
  <si>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</si>
  <si>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</si>
  <si>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</si>
  <si>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</si>
  <si>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</si>
  <si>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</si>
  <si>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</si>
  <si>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</si>
  <si>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</si>
  <si>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</si>
  <si>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</si>
  <si>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</si>
  <si>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</si>
  <si>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</si>
  <si>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</si>
  <si>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</si>
  <si>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</si>
  <si>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</si>
  <si>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</si>
  <si>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</si>
  <si>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</si>
  <si>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</si>
  <si>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</si>
  <si>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</si>
  <si>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</si>
  <si>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</si>
  <si>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</si>
  <si>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</si>
  <si>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</si>
  <si>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</si>
  <si>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</si>
  <si>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</si>
  <si>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</si>
  <si>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</si>
  <si>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</si>
  <si>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</si>
  <si>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</si>
  <si>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</si>
  <si>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</si>
  <si>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</si>
  <si>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</si>
  <si>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</si>
  <si>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</si>
  <si>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</si>
  <si>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</si>
  <si>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</si>
  <si>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</si>
  <si>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</si>
  <si>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</si>
  <si>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</si>
  <si>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</si>
  <si>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</si>
  <si>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</si>
  <si>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</si>
  <si>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</si>
  <si>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</si>
  <si>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</si>
  <si>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</si>
  <si>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</si>
  <si>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</si>
  <si>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</si>
  <si>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</si>
  <si>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</si>
  <si>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</si>
  <si>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</si>
  <si>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</si>
  <si>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</si>
  <si>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</si>
  <si>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</si>
  <si>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</si>
  <si>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</si>
  <si>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</si>
  <si>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</si>
  <si>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</si>
  <si>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</si>
  <si>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</si>
  <si>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</si>
  <si>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</si>
  <si>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</si>
  <si>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</si>
  <si>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</si>
  <si>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</si>
  <si>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</si>
  <si>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</si>
  <si>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</si>
  <si>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</si>
  <si>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</si>
  <si>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</si>
  <si>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</si>
  <si>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</si>
  <si>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</si>
  <si>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</si>
  <si>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</si>
  <si>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</si>
  <si>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</si>
  <si>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</si>
  <si>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</si>
  <si>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</si>
  <si>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</si>
  <si>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</si>
  <si>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</si>
  <si>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</si>
  <si>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</si>
  <si>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</si>
  <si>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</si>
  <si>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</si>
  <si>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</si>
  <si>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</si>
  <si>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</si>
  <si>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</si>
  <si>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</si>
  <si>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</si>
  <si>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</si>
  <si>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</si>
  <si>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</si>
  <si>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</si>
  <si>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</si>
  <si>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</si>
  <si>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</si>
  <si>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</si>
  <si>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</si>
  <si>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</si>
  <si>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</si>
  <si>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</si>
  <si>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</si>
  <si>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</si>
  <si>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</si>
  <si>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</si>
  <si>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</si>
  <si>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</si>
  <si>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</si>
  <si>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</si>
  <si>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</si>
  <si>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</si>
  <si>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</si>
  <si>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</si>
  <si>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</si>
  <si>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</si>
  <si>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</si>
  <si>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</si>
  <si>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</si>
  <si>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</si>
  <si>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</si>
  <si>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</si>
  <si>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</si>
  <si>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</si>
  <si>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</si>
  <si>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</si>
  <si>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</si>
  <si>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</si>
  <si>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</si>
  <si>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</si>
  <si>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</si>
  <si>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</si>
  <si>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</si>
  <si>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</si>
  <si>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</si>
  <si>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</si>
  <si>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</si>
  <si>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</si>
  <si>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</si>
  <si>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</si>
  <si>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</si>
  <si>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</si>
  <si>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</si>
  <si>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</si>
  <si>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</si>
  <si>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</si>
  <si>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</si>
  <si>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</si>
  <si>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</si>
  <si>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</si>
  <si>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</si>
  <si>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</si>
  <si>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</si>
  <si>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</si>
  <si>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</si>
  <si>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</si>
  <si>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</si>
  <si>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</si>
  <si>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</si>
  <si>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</si>
  <si>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</si>
  <si>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</si>
  <si>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</si>
  <si>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</si>
  <si>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</si>
  <si>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</si>
  <si>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</si>
  <si>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</si>
  <si>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</si>
  <si>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</si>
  <si>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</si>
  <si>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</si>
  <si>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</si>
  <si>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</si>
  <si>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</si>
  <si>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</si>
  <si>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</si>
  <si>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</si>
  <si>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</si>
  <si>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</si>
  <si>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</si>
  <si>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</si>
  <si>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</si>
  <si>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</si>
  <si>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</si>
  <si>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</si>
  <si>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</si>
  <si>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</si>
  <si>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</si>
  <si>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</si>
  <si>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</si>
  <si>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</si>
  <si>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</si>
  <si>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</si>
  <si>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</si>
  <si>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</si>
  <si>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</si>
  <si>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</si>
  <si>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</si>
  <si>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</si>
  <si>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</si>
  <si>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</si>
  <si>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</si>
  <si>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</si>
  <si>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</si>
  <si>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</si>
  <si>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</si>
  <si>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</si>
  <si>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</si>
  <si>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</si>
  <si>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</si>
  <si>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</si>
  <si>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</si>
  <si>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</si>
  <si>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</si>
  <si>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</si>
  <si>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</si>
  <si>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</si>
  <si>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</si>
  <si>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</si>
  <si>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</si>
  <si>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</si>
  <si>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</si>
  <si>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</si>
  <si>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</si>
  <si>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</si>
  <si>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</si>
  <si>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</si>
  <si>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</si>
  <si>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</si>
  <si>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</si>
  <si>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</si>
  <si>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</si>
  <si>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</si>
  <si>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</si>
  <si>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</si>
  <si>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</si>
  <si>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</si>
  <si>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</si>
  <si>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</si>
  <si>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</si>
  <si>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</si>
  <si>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</si>
  <si>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</si>
  <si>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</si>
  <si>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</si>
  <si>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</si>
  <si>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</si>
  <si>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</si>
  <si>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</si>
  <si>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</si>
  <si>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</si>
  <si>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</si>
  <si>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</si>
  <si>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</si>
  <si>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</si>
  <si>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</si>
  <si>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</si>
  <si>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</si>
  <si>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</si>
  <si>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</si>
  <si>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</si>
  <si>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</si>
  <si>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</si>
  <si>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</si>
  <si>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</si>
  <si>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</si>
  <si>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</si>
  <si>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</si>
  <si>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</si>
  <si>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</si>
  <si>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</si>
  <si>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</si>
  <si>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</si>
  <si>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</si>
  <si>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</si>
  <si>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</si>
  <si>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</si>
  <si>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</si>
  <si>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</si>
  <si>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</si>
  <si>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</si>
  <si>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</si>
  <si>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</si>
  <si>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</si>
  <si>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</si>
  <si>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</si>
  <si>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</si>
  <si>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</si>
  <si>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</si>
  <si>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</si>
  <si>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</si>
  <si>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</si>
  <si>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</si>
  <si>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</si>
  <si>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</si>
  <si>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</si>
  <si>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</si>
  <si>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</si>
  <si>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</si>
  <si>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</si>
  <si>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</si>
  <si>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</si>
  <si>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</si>
  <si>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</si>
  <si>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</si>
  <si>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</si>
  <si>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</si>
  <si>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</si>
  <si>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</si>
  <si>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</si>
  <si>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</si>
  <si>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</si>
  <si>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</si>
  <si>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</si>
  <si>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</si>
  <si>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</si>
  <si>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</si>
  <si>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</si>
  <si>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</si>
  <si>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</si>
  <si>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</si>
  <si>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</si>
  <si>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</si>
  <si>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</si>
  <si>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</si>
  <si>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</si>
  <si>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</si>
  <si>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</si>
  <si>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</si>
  <si>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</si>
  <si>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</si>
  <si>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</si>
  <si>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</si>
  <si>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</si>
  <si>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</si>
  <si>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</si>
  <si>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</si>
  <si>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</si>
  <si>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</si>
  <si>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</si>
  <si>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</si>
  <si>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</si>
  <si>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</si>
  <si>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</si>
  <si>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</si>
  <si>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</si>
  <si>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</si>
  <si>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</si>
  <si>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</si>
  <si>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</si>
  <si>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</si>
  <si>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</si>
  <si>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</si>
  <si>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</si>
  <si>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</si>
  <si>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</si>
  <si>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</si>
  <si>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</si>
  <si>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</si>
  <si>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</si>
  <si>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</si>
  <si>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</si>
  <si>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</si>
  <si>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</si>
  <si>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</si>
  <si>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</si>
  <si>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</si>
  <si>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</si>
  <si>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</si>
  <si>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</si>
  <si>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</si>
  <si>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</si>
  <si>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</si>
  <si>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</si>
  <si>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</si>
  <si>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</si>
  <si>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</si>
  <si>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</si>
  <si>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</si>
  <si>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</si>
  <si>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</si>
  <si>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</si>
  <si>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</si>
  <si>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</si>
  <si>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</si>
  <si>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</si>
  <si>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</si>
  <si>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</si>
  <si>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</si>
  <si>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</si>
  <si>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</si>
  <si>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</si>
  <si>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</si>
  <si>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</si>
  <si>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</si>
  <si>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</si>
  <si>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</si>
  <si>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</si>
  <si>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</si>
  <si>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</si>
  <si>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</si>
  <si>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</si>
  <si>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</si>
  <si>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</si>
  <si>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</si>
  <si>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</si>
  <si>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</si>
  <si>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</si>
  <si>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</si>
  <si>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</si>
  <si>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</si>
  <si>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</si>
  <si>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</si>
  <si>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</si>
  <si>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</si>
  <si>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</si>
  <si>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</si>
  <si>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</si>
  <si>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</si>
  <si>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</si>
  <si>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</si>
  <si>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</si>
  <si>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</si>
  <si>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</si>
  <si>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</si>
  <si>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</si>
  <si>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</si>
  <si>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</si>
  <si>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</si>
  <si>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</si>
  <si>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</si>
  <si>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</si>
  <si>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</si>
  <si>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</si>
  <si>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</si>
  <si>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</si>
  <si>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</si>
  <si>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</si>
  <si>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</si>
  <si>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</si>
  <si>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</si>
  <si>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</si>
  <si>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</si>
  <si>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</si>
  <si>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</si>
  <si>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</si>
  <si>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</si>
  <si>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</si>
  <si>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</si>
  <si>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</si>
  <si>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</si>
  <si>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</si>
  <si>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</si>
  <si>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</si>
  <si>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</si>
  <si>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</si>
  <si>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</si>
  <si>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</si>
  <si>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</si>
  <si>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</si>
  <si>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</si>
  <si>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</si>
  <si>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</si>
  <si>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</si>
  <si>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</si>
  <si>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</si>
  <si>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</si>
  <si>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</si>
  <si>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</si>
  <si>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</si>
  <si>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</si>
  <si>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</si>
  <si>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</si>
  <si>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</si>
  <si>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</si>
  <si>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</si>
  <si>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</si>
  <si>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</si>
  <si>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</si>
  <si>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</si>
  <si>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</si>
  <si>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</si>
  <si>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</si>
  <si>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</si>
  <si>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</si>
  <si>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</si>
  <si>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</si>
  <si>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</si>
  <si>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</si>
  <si>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</si>
  <si>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</si>
  <si>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</si>
  <si>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</si>
  <si>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</si>
  <si>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</si>
  <si>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</si>
  <si>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</si>
  <si>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</si>
  <si>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</si>
  <si>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</si>
  <si>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</si>
  <si>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</si>
  <si>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</si>
  <si>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</si>
  <si>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</si>
  <si>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</si>
  <si>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</si>
  <si>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</si>
  <si>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</si>
  <si>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</si>
  <si>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</si>
  <si>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</si>
  <si>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</si>
  <si>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</si>
  <si>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</si>
  <si>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</si>
  <si>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</si>
  <si>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</si>
  <si>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</si>
  <si>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</si>
  <si>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</si>
  <si>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</si>
  <si>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</si>
  <si>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</si>
  <si>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</si>
  <si>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</si>
  <si>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</si>
  <si>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</si>
  <si>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</si>
  <si>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</si>
  <si>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</si>
  <si>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</si>
  <si>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</si>
  <si>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</si>
  <si>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</si>
  <si>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</si>
  <si>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</si>
  <si>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</si>
  <si>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</si>
  <si>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</si>
  <si>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</si>
  <si>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</si>
  <si>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</si>
  <si>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</si>
  <si>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</si>
  <si>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</si>
  <si>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</si>
  <si>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</si>
  <si>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</si>
  <si>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</si>
  <si>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</si>
  <si>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</si>
  <si>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</si>
  <si>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</si>
  <si>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</si>
  <si>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</si>
  <si>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</si>
  <si>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</si>
  <si>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</si>
  <si>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</si>
  <si>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</si>
  <si>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</si>
  <si>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</si>
  <si>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</si>
  <si>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</si>
  <si>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</si>
  <si>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</si>
  <si>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</si>
  <si>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</si>
  <si>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</si>
  <si>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</si>
  <si>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</si>
  <si>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</si>
  <si>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</si>
  <si>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</si>
  <si>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</si>
  <si>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</si>
  <si>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</si>
  <si>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</si>
  <si>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</si>
  <si>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</si>
  <si>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</si>
  <si>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</si>
  <si>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</si>
  <si>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</si>
  <si>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</si>
  <si>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</si>
  <si>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</si>
  <si>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</si>
  <si>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</si>
  <si>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</si>
  <si>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</si>
  <si>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</si>
  <si>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</si>
  <si>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</si>
  <si>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</si>
  <si>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</si>
  <si>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</si>
  <si>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</si>
  <si>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</si>
  <si>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</si>
  <si>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</si>
  <si>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</si>
  <si>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</si>
  <si>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</si>
  <si>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</si>
  <si>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</si>
  <si>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</si>
  <si>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</si>
  <si>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</si>
  <si>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</si>
  <si>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</si>
  <si>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</si>
  <si>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</si>
  <si>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</si>
  <si>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</si>
  <si>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</si>
  <si>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</si>
  <si>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</si>
  <si>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</si>
  <si>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</si>
  <si>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</si>
  <si>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</si>
  <si>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</si>
  <si>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</si>
  <si>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</si>
  <si>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</si>
  <si>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</si>
  <si>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</si>
  <si>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</si>
  <si>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</si>
  <si>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</si>
  <si>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</si>
  <si>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</si>
  <si>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</si>
  <si>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</si>
  <si>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</si>
  <si>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</si>
  <si>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</si>
  <si>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</si>
  <si>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</si>
  <si>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</si>
  <si>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</si>
  <si>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</si>
  <si>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</si>
  <si>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</si>
  <si>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</si>
  <si>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</si>
  <si>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</si>
  <si>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</si>
  <si>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</si>
  <si>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</si>
  <si>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</si>
  <si>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</si>
  <si>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</si>
  <si>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</si>
  <si>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</si>
  <si>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</si>
  <si>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</si>
  <si>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</si>
  <si>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</si>
  <si>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</si>
  <si>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</si>
  <si>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</si>
  <si>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</si>
  <si>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</si>
  <si>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</si>
  <si>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</si>
  <si>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</si>
  <si>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</si>
  <si>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</si>
  <si>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</si>
  <si>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</si>
  <si>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</si>
  <si>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</si>
  <si>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</si>
  <si>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</si>
  <si>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</si>
  <si>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</si>
  <si>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</si>
  <si>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</si>
  <si>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</si>
  <si>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</si>
  <si>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</si>
  <si>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</si>
  <si>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</si>
  <si>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</si>
  <si>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</si>
  <si>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</si>
  <si>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</si>
  <si>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</si>
  <si>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</si>
  <si>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</si>
  <si>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</si>
  <si>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</si>
  <si>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</si>
  <si>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</si>
  <si>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</si>
  <si>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</si>
  <si>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</si>
  <si>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</si>
  <si>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</si>
  <si>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</si>
  <si>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</si>
  <si>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</si>
  <si>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</si>
  <si>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</si>
  <si>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</si>
  <si>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</si>
  <si>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</si>
  <si>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</si>
  <si>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</si>
  <si>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</si>
  <si>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</si>
  <si>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</si>
  <si>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</si>
  <si>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</si>
  <si>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</si>
  <si>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</si>
  <si>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</si>
  <si>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</si>
  <si>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</si>
  <si>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</si>
  <si>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</si>
  <si>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</si>
  <si>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</si>
  <si>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</si>
  <si>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</si>
  <si>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</si>
  <si>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</si>
  <si>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</si>
  <si>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</si>
  <si>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</si>
  <si>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</si>
  <si>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</si>
  <si>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</si>
  <si>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</si>
  <si>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</si>
  <si>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</si>
  <si>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</si>
  <si>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</si>
  <si>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</si>
  <si>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</si>
  <si>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</si>
  <si>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</si>
  <si>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</si>
  <si>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</si>
  <si>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</si>
  <si>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</si>
  <si>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</si>
  <si>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</si>
  <si>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</si>
  <si>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</si>
  <si>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</si>
  <si>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</si>
  <si>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</si>
  <si>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</si>
  <si>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</si>
  <si>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</si>
  <si>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</si>
  <si>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</si>
  <si>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</si>
  <si>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</si>
  <si>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</si>
  <si>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</si>
  <si>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</si>
  <si>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</si>
  <si>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</si>
  <si>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</si>
  <si>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</si>
  <si>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</si>
  <si>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</si>
  <si>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</si>
  <si>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</si>
  <si>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</si>
  <si>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</si>
  <si>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</si>
  <si>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</si>
  <si>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</si>
  <si>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</si>
  <si>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</si>
  <si>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</si>
  <si>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</si>
  <si>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</si>
  <si>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</si>
  <si>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</si>
  <si>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</si>
  <si>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</si>
  <si>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</si>
  <si>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</si>
  <si>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</si>
  <si>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</si>
  <si>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</si>
  <si>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</si>
  <si>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</si>
  <si>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</si>
  <si>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</si>
  <si>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</si>
  <si>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</si>
  <si>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</si>
  <si>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</si>
  <si>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</si>
  <si>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</si>
  <si>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</si>
  <si>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</si>
  <si>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</si>
  <si>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</si>
  <si>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</si>
  <si>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</si>
  <si>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</si>
  <si>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</si>
  <si>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</si>
  <si>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</si>
  <si>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</si>
  <si>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</si>
  <si>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</si>
  <si>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</si>
  <si>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</si>
  <si>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</si>
  <si>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</si>
  <si>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</si>
  <si>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</si>
  <si>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</si>
  <si>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</si>
  <si>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</si>
  <si>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</si>
  <si>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</si>
  <si>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</si>
  <si>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</si>
  <si>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</si>
  <si>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</si>
  <si>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</si>
  <si>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</si>
  <si>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</si>
  <si>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</si>
  <si>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</si>
  <si>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</si>
  <si>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</si>
  <si>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</si>
  <si>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</si>
  <si>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</si>
  <si>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</si>
  <si>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</si>
  <si>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</si>
  <si>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</si>
  <si>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</si>
  <si>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</si>
  <si>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</si>
  <si>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</si>
  <si>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</si>
  <si>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</si>
  <si>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</si>
  <si>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</si>
  <si>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</si>
  <si>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</si>
  <si>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</si>
  <si>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</si>
  <si>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</si>
  <si>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</si>
  <si>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</si>
  <si>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</si>
  <si>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</si>
  <si>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</si>
  <si>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</si>
  <si>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</si>
  <si>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</si>
  <si>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</si>
  <si>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</si>
  <si>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</si>
  <si>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</si>
  <si>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</si>
  <si>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</si>
  <si>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</si>
  <si>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</si>
  <si>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</si>
  <si>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</si>
  <si>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</si>
  <si>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</si>
  <si>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</si>
  <si>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</si>
  <si>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</si>
  <si>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</si>
  <si>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</si>
  <si>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</si>
  <si>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</si>
  <si>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</si>
  <si>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</si>
  <si>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</si>
  <si>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</si>
  <si>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</si>
  <si>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</si>
  <si>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</si>
  <si>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</si>
  <si>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</si>
  <si>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</si>
  <si>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</si>
  <si>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</si>
  <si>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</si>
  <si>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</si>
  <si>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</si>
  <si>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</si>
  <si>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</si>
  <si>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</si>
  <si>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</si>
  <si>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</si>
  <si>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</si>
  <si>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</si>
  <si>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</si>
  <si>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</si>
  <si>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</si>
  <si>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</si>
  <si>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</si>
  <si>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</si>
  <si>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</si>
  <si>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</si>
  <si>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</si>
  <si>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</si>
  <si>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</si>
  <si>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</si>
  <si>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</si>
  <si>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</si>
  <si>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</si>
  <si>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</si>
  <si>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</si>
  <si>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</si>
  <si>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</si>
  <si>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</si>
  <si>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</si>
  <si>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</si>
  <si>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</si>
  <si>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</si>
  <si>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</si>
  <si>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</si>
  <si>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</si>
  <si>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</si>
  <si>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</si>
  <si>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</si>
  <si>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</si>
  <si>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</si>
  <si>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</si>
  <si>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</si>
  <si>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</si>
  <si>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</si>
  <si>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</si>
  <si>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</si>
  <si>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</si>
  <si>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</si>
  <si>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</si>
  <si>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</si>
  <si>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</si>
  <si>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</si>
  <si>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</si>
  <si>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</si>
  <si>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</si>
  <si>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</si>
  <si>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</si>
  <si>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</si>
  <si>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</si>
  <si>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</si>
  <si>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</si>
  <si>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</si>
  <si>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</si>
  <si>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</si>
  <si>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</si>
  <si>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</si>
  <si>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</si>
  <si>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</si>
  <si>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</si>
  <si>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</si>
  <si>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</si>
  <si>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</si>
  <si>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</si>
  <si>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</si>
  <si>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</si>
  <si>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</si>
  <si>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</si>
  <si>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</si>
  <si>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</si>
  <si>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</si>
  <si>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</si>
  <si>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</si>
  <si>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</si>
  <si>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</si>
  <si>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</si>
  <si>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</si>
  <si>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</si>
  <si>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</si>
  <si>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</si>
  <si>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</si>
  <si>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</si>
  <si>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</si>
  <si>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</si>
  <si>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</si>
  <si>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</si>
  <si>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</si>
  <si>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</si>
  <si>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</si>
  <si>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</si>
  <si>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</si>
  <si>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</si>
  <si>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</si>
  <si>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</si>
  <si>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</si>
  <si>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</si>
  <si>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</si>
  <si>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</si>
  <si>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</si>
  <si>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</si>
  <si>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</si>
  <si>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</si>
  <si>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</si>
  <si>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</si>
  <si>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</si>
  <si>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</si>
  <si>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</si>
  <si>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</si>
  <si>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</si>
  <si>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</si>
  <si>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</si>
  <si>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</si>
  <si>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</si>
  <si>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</si>
  <si>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</si>
  <si>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</si>
  <si>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</si>
  <si>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</si>
  <si>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</si>
  <si>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</si>
  <si>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</si>
  <si>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</si>
  <si>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</si>
  <si>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</si>
  <si>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</si>
  <si>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</si>
  <si>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</si>
  <si>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</si>
  <si>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</si>
  <si>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</si>
  <si>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</si>
  <si>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</si>
  <si>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</si>
  <si>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</si>
  <si>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</si>
  <si>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</si>
  <si>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</si>
  <si>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</si>
  <si>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</si>
  <si>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</si>
  <si>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</si>
  <si>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</si>
  <si>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</si>
  <si>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</si>
  <si>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</si>
  <si>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</si>
  <si>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</si>
  <si>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</si>
  <si>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</si>
  <si>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</si>
  <si>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</si>
  <si>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</si>
  <si>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</si>
  <si>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</si>
  <si>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</si>
  <si>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</si>
  <si>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</si>
  <si>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</si>
  <si>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</si>
  <si>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</si>
  <si>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</si>
  <si>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</si>
  <si>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</si>
  <si>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</si>
  <si>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</si>
  <si>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</si>
  <si>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</si>
  <si>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</si>
  <si>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</si>
  <si>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</si>
  <si>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</si>
  <si>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</si>
  <si>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</si>
  <si>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</si>
  <si>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</si>
  <si>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</si>
  <si>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</si>
  <si>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</si>
  <si>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</si>
  <si>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</si>
  <si>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</si>
  <si>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</si>
  <si>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</si>
  <si>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</si>
  <si>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</si>
  <si>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</si>
  <si>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</si>
  <si>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</si>
  <si>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</si>
  <si>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</si>
  <si>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</si>
  <si>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</si>
  <si>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</si>
  <si>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</si>
  <si>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</si>
  <si>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</si>
  <si>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</si>
  <si>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</si>
  <si>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</si>
  <si>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</si>
  <si>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</si>
  <si>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</si>
  <si>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</si>
  <si>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</si>
  <si>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</si>
  <si>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</si>
  <si>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</si>
  <si>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</si>
  <si>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</si>
  <si>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</si>
  <si>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</si>
  <si>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</si>
  <si>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</si>
  <si>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</si>
  <si>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</si>
  <si>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</si>
  <si>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</si>
  <si>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</si>
  <si>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</si>
  <si>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</si>
  <si>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</si>
  <si>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</si>
  <si>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</si>
  <si>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</si>
  <si>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</si>
  <si>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</si>
  <si>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</si>
  <si>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</si>
  <si>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</si>
  <si>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</si>
  <si>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</si>
  <si>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</si>
  <si>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</si>
  <si>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</si>
  <si>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</si>
  <si>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</si>
  <si>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</si>
  <si>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</si>
  <si>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</si>
  <si>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</si>
  <si>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</si>
  <si>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</si>
  <si>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</si>
  <si>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</si>
  <si>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</si>
  <si>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</si>
  <si>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</si>
  <si>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</si>
  <si>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</si>
  <si>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</si>
  <si>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</si>
  <si>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</si>
  <si>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</si>
  <si>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</si>
  <si>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</si>
  <si>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</si>
  <si>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</si>
  <si>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</si>
  <si>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</si>
  <si>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</si>
  <si>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</si>
  <si>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</si>
  <si>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</si>
  <si>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</si>
  <si>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</si>
  <si>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</si>
  <si>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</si>
  <si>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</si>
  <si>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</si>
  <si>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</si>
  <si>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</si>
  <si>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</si>
  <si>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</si>
  <si>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</si>
  <si>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</si>
  <si>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</si>
  <si>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</si>
  <si>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</si>
  <si>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</si>
  <si>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</si>
  <si>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</si>
  <si>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</si>
  <si>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</si>
  <si>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</si>
  <si>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</si>
  <si>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</si>
  <si>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</si>
  <si>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</si>
  <si>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</si>
  <si>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</si>
  <si>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</si>
  <si>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</si>
  <si>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</si>
  <si>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</si>
  <si>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</si>
  <si>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</si>
  <si>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</si>
  <si>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</si>
  <si>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</si>
  <si>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</si>
  <si>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</si>
  <si>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</si>
  <si>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</si>
  <si>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</si>
  <si>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</si>
  <si>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</si>
  <si>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</si>
  <si>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</si>
  <si>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</si>
  <si>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</si>
  <si>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</si>
  <si>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</si>
  <si>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</si>
  <si>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</si>
  <si>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</si>
  <si>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</si>
  <si>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</si>
  <si>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</si>
  <si>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</si>
  <si>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</si>
  <si>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</si>
  <si>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</si>
  <si>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</si>
  <si>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</si>
  <si>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</si>
  <si>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</si>
  <si>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</si>
  <si>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</si>
  <si>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</si>
  <si>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</si>
  <si>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</si>
  <si>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</si>
  <si>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</si>
  <si>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</si>
  <si>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</si>
  <si>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</si>
  <si>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</si>
  <si>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</si>
  <si>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</si>
  <si>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</si>
  <si>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</si>
  <si>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</si>
  <si>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</si>
  <si>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</si>
  <si>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</si>
  <si>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</si>
  <si>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</si>
  <si>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</si>
  <si>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</si>
  <si>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</si>
  <si>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</si>
  <si>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</si>
  <si>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</si>
  <si>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</si>
  <si>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</si>
  <si>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</si>
  <si>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</si>
  <si>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</si>
  <si>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</si>
  <si>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</si>
  <si>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</si>
  <si>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</si>
  <si>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</si>
  <si>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</si>
  <si>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</si>
  <si>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</si>
  <si>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</si>
  <si>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</si>
  <si>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</si>
  <si>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</si>
  <si>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</si>
  <si>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</si>
  <si>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</si>
  <si>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</si>
  <si>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</si>
  <si>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</si>
  <si>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</si>
  <si>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</si>
  <si>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</si>
  <si>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</si>
  <si>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</si>
  <si>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</si>
  <si>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</si>
  <si>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</si>
  <si>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</si>
  <si>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</si>
  <si>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</si>
  <si>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</si>
  <si>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</si>
  <si>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</si>
  <si>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</si>
  <si>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</si>
  <si>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</si>
  <si>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</si>
  <si>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</si>
  <si>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</si>
  <si>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</si>
  <si>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</si>
  <si>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</si>
  <si>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</si>
  <si>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</si>
  <si>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</si>
  <si>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</si>
  <si>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</si>
  <si>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</si>
  <si>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</si>
  <si>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</si>
  <si>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</si>
  <si>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</si>
  <si>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</si>
  <si>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</si>
  <si>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</si>
  <si>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</si>
  <si>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</si>
  <si>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</si>
  <si>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</si>
  <si>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</si>
  <si>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</si>
  <si>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</si>
  <si>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</si>
  <si>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</si>
  <si>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</si>
  <si>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</si>
  <si>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</si>
  <si>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</si>
  <si>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</si>
  <si>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</si>
  <si>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</si>
  <si>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</si>
  <si>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</si>
  <si>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</si>
  <si>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</si>
  <si>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</si>
  <si>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</si>
  <si>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</si>
  <si>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</si>
  <si>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</si>
  <si>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</si>
  <si>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</si>
  <si>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</si>
  <si>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</si>
  <si>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</si>
  <si>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</si>
  <si>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</si>
  <si>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</si>
  <si>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</si>
  <si>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</si>
  <si>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</si>
  <si>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</si>
  <si>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</si>
  <si>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</si>
  <si>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</si>
  <si>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</si>
  <si>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</si>
  <si>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</si>
  <si>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</si>
  <si>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</si>
  <si>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</si>
  <si>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</si>
  <si>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</si>
  <si>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</si>
  <si>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</si>
  <si>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</si>
  <si>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</si>
  <si>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</si>
  <si>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</si>
  <si>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</si>
  <si>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</si>
  <si>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</si>
  <si>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</si>
  <si>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</si>
  <si>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</si>
  <si>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</si>
  <si>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</si>
  <si>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</si>
  <si>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</si>
  <si>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</si>
  <si>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</si>
  <si>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</si>
  <si>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</si>
  <si>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</si>
  <si>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</si>
  <si>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</si>
  <si>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</si>
  <si>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</si>
  <si>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</si>
  <si>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</si>
  <si>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</si>
  <si>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</si>
  <si>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</si>
  <si>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</si>
  <si>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</si>
  <si>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</si>
  <si>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</si>
  <si>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</si>
  <si>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</si>
  <si>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</si>
  <si>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</si>
  <si>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</si>
  <si>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</si>
  <si>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</si>
  <si>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</si>
  <si>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</si>
  <si>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</si>
  <si>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</si>
  <si>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</si>
  <si>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</si>
  <si>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</si>
  <si>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</si>
  <si>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</si>
  <si>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</si>
  <si>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</si>
  <si>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</si>
  <si>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</si>
  <si>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</si>
  <si>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</si>
  <si>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</si>
  <si>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</si>
  <si>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</si>
  <si>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</si>
  <si>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</si>
  <si>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</si>
  <si>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</si>
  <si>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</si>
  <si>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</si>
  <si>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</si>
  <si>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</si>
  <si>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</si>
  <si>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</si>
  <si>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</si>
  <si>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</si>
  <si>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</si>
  <si>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</si>
  <si>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</si>
  <si>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</si>
  <si>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</si>
  <si>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</si>
  <si>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</si>
  <si>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</si>
  <si>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</si>
  <si>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</si>
  <si>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</si>
  <si>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</si>
  <si>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</si>
  <si>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</si>
  <si>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</si>
  <si>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</si>
  <si>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</si>
  <si>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</si>
  <si>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</si>
  <si>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</si>
  <si>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</si>
  <si>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</si>
  <si>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</si>
  <si>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</si>
  <si>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</si>
  <si>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</si>
  <si>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</si>
  <si>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</si>
  <si>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</si>
  <si>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</si>
  <si>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</si>
  <si>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</si>
  <si>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</si>
  <si>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</si>
  <si>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</si>
  <si>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</si>
  <si>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</si>
  <si>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</si>
  <si>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</si>
  <si>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</si>
  <si>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</si>
  <si>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</si>
  <si>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</si>
  <si>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</si>
  <si>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</si>
  <si>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</si>
  <si>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</si>
  <si>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</si>
  <si>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</si>
  <si>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</si>
  <si>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</si>
  <si>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</si>
  <si>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</si>
  <si>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</si>
  <si>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</si>
  <si>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</si>
  <si>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</si>
  <si>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</si>
  <si>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</si>
  <si>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</si>
  <si>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</si>
  <si>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</si>
  <si>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</si>
  <si>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</si>
  <si>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</si>
  <si>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</si>
  <si>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</si>
  <si>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</si>
  <si>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</si>
  <si>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</si>
  <si>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</si>
  <si>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</si>
  <si>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</si>
  <si>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</si>
  <si>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</si>
  <si>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</si>
  <si>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</si>
  <si>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</si>
  <si>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</si>
  <si>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</si>
  <si>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</si>
  <si>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</si>
  <si>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</si>
  <si>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</si>
  <si>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</si>
  <si>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</si>
  <si>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</si>
  <si>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</si>
  <si>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</si>
  <si>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</si>
  <si>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</si>
  <si>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</si>
  <si>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</si>
  <si>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</si>
  <si>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</si>
  <si>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</si>
  <si>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</si>
  <si>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</si>
  <si>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</si>
  <si>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</si>
  <si>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</si>
  <si>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</si>
  <si>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</si>
  <si>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</si>
  <si>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</si>
  <si>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</si>
  <si>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</si>
  <si>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</si>
  <si>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</si>
  <si>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</si>
  <si>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</si>
  <si>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</si>
  <si>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</si>
  <si>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</si>
  <si>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</si>
  <si>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</si>
  <si>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</si>
  <si>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</si>
  <si>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</si>
  <si>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</si>
  <si>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</si>
  <si>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</si>
  <si>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</si>
  <si>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</si>
  <si>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</si>
  <si>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</si>
  <si>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</si>
  <si>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</si>
  <si>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</si>
  <si>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</si>
  <si>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</si>
  <si>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</si>
  <si>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</si>
  <si>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</si>
  <si>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</si>
  <si>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</si>
  <si>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</si>
  <si>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</si>
  <si>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</si>
  <si>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</si>
  <si>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</si>
  <si>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</si>
  <si>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</si>
  <si>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</si>
  <si>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</si>
  <si>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</si>
  <si>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</si>
  <si>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</si>
  <si>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</si>
  <si>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</si>
  <si>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</si>
  <si>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</si>
  <si>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</si>
  <si>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</si>
  <si>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</si>
  <si>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</si>
  <si>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</si>
  <si>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</si>
  <si>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</si>
  <si>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</si>
  <si>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</si>
  <si>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</si>
  <si>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</si>
  <si>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</si>
  <si>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</si>
  <si>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</si>
  <si>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</si>
  <si>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</si>
  <si>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</si>
  <si>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</si>
  <si>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</si>
  <si>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</si>
  <si>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</si>
  <si>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</si>
  <si>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</si>
  <si>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</si>
  <si>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</si>
  <si>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</si>
  <si>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</si>
  <si>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</si>
  <si>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</si>
  <si>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</si>
  <si>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</si>
  <si>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</si>
  <si>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</si>
  <si>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</si>
  <si>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</si>
  <si>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</si>
  <si>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</si>
  <si>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</si>
  <si>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</si>
  <si>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</si>
  <si>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</si>
  <si>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</si>
  <si>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</si>
  <si>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</si>
  <si>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</si>
  <si>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</si>
  <si>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</si>
  <si>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</si>
  <si>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</si>
  <si>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</si>
  <si>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</si>
  <si>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</si>
  <si>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</si>
  <si>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</si>
  <si>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</si>
  <si>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</si>
  <si>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</si>
  <si>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</si>
  <si>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</si>
  <si>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</si>
  <si>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</si>
  <si>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</si>
  <si>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</si>
  <si>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</si>
  <si>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</si>
  <si>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</si>
  <si>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</si>
  <si>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</si>
  <si>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</si>
  <si>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</si>
  <si>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</si>
  <si>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</si>
  <si>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</si>
  <si>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</si>
  <si>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</si>
  <si>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</si>
  <si>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</si>
  <si>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</si>
  <si>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</si>
  <si>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</si>
  <si>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</si>
  <si>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</si>
  <si>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</si>
  <si>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</si>
  <si>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</si>
  <si>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</si>
  <si>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</si>
  <si>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</si>
  <si>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</si>
  <si>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</si>
  <si>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</si>
  <si>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</si>
  <si>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</si>
  <si>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</si>
  <si>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</si>
  <si>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</si>
  <si>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</si>
  <si>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</si>
  <si>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</si>
  <si>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</si>
  <si>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</si>
  <si>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</si>
  <si>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</si>
  <si>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</si>
  <si>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</si>
  <si>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</si>
  <si>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</si>
  <si>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</si>
  <si>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</si>
  <si>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</si>
  <si>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</si>
  <si>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</si>
  <si>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</si>
  <si>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</si>
  <si>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</si>
  <si>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</si>
  <si>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</si>
  <si>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</si>
  <si>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</si>
  <si>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</si>
  <si>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</si>
  <si>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</si>
  <si>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</si>
  <si>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</si>
  <si>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</si>
  <si>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</si>
  <si>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</si>
  <si>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</si>
  <si>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</si>
  <si>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</si>
  <si>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</si>
  <si>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</si>
  <si>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</si>
  <si>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</si>
  <si>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</si>
  <si>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</si>
  <si>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</si>
  <si>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</si>
  <si>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</si>
  <si>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</si>
  <si>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</si>
  <si>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</si>
  <si>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</si>
  <si>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</si>
  <si>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</si>
  <si>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</si>
  <si>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</si>
  <si>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</si>
  <si>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</si>
  <si>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</si>
  <si>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</si>
  <si>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</si>
  <si>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</si>
  <si>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</si>
  <si>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</si>
  <si>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</si>
  <si>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</si>
  <si>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</si>
  <si>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</si>
  <si>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</si>
  <si>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</si>
  <si>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</si>
  <si>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</si>
  <si>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</si>
  <si>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</si>
  <si>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</si>
  <si>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</si>
  <si>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</si>
  <si>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</si>
  <si>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</si>
  <si>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</si>
  <si>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</si>
  <si>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</si>
  <si>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</si>
  <si>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</si>
  <si>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</si>
  <si>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</si>
  <si>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</si>
  <si>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</si>
  <si>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</si>
  <si>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</si>
  <si>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</si>
  <si>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</si>
  <si>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</si>
  <si>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</si>
  <si>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</si>
  <si>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</si>
  <si>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</si>
  <si>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</si>
  <si>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</si>
  <si>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</si>
  <si>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</si>
  <si>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</si>
  <si>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</si>
  <si>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</si>
  <si>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</si>
  <si>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</si>
  <si>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</si>
  <si>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</si>
  <si>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</si>
  <si>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</si>
  <si>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</si>
  <si>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</si>
  <si>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</si>
  <si>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</si>
  <si>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</si>
  <si>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</si>
  <si>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</si>
  <si>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</si>
  <si>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</si>
  <si>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</si>
  <si>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</si>
  <si>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</si>
  <si>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</si>
  <si>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</si>
  <si>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</si>
  <si>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</si>
  <si>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</si>
  <si>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</si>
  <si>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</si>
  <si>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</si>
  <si>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</si>
  <si>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</si>
  <si>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</si>
  <si>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</si>
  <si>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</si>
  <si>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</si>
  <si>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</si>
  <si>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</si>
  <si>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</si>
  <si>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</si>
  <si>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</si>
  <si>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</si>
  <si>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</si>
  <si>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</si>
  <si>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</si>
  <si>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</si>
  <si>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</si>
  <si>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</si>
  <si>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</si>
  <si>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</si>
  <si>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</si>
  <si>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</si>
  <si>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</si>
  <si>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</si>
  <si>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</si>
  <si>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</si>
  <si>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</si>
  <si>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</si>
  <si>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</si>
  <si>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</si>
  <si>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</si>
  <si>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</si>
  <si>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</si>
  <si>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</si>
  <si>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</si>
  <si>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</si>
  <si>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</si>
  <si>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</si>
  <si>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</si>
  <si>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</si>
  <si>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</si>
  <si>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</si>
  <si>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</si>
  <si>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</si>
  <si>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</si>
  <si>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</si>
  <si>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</si>
  <si>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</si>
  <si>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</si>
  <si>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</si>
  <si>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</si>
  <si>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</si>
  <si>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</si>
  <si>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</si>
  <si>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</si>
  <si>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</si>
  <si>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</si>
  <si>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</si>
  <si>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</si>
  <si>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</si>
  <si>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</si>
  <si>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</si>
  <si>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</si>
  <si>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</si>
  <si>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</si>
  <si>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</si>
  <si>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</si>
  <si>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</si>
  <si>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</si>
  <si>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</si>
  <si>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</si>
  <si>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</si>
  <si>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</si>
  <si>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</si>
  <si>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</si>
  <si>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</si>
  <si>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</si>
  <si>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</si>
  <si>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</si>
  <si>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</si>
  <si>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</si>
  <si>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</si>
  <si>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</si>
  <si>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</si>
  <si>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</si>
  <si>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</si>
  <si>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</si>
  <si>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</si>
  <si>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</si>
  <si>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</si>
  <si>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</si>
  <si>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</si>
  <si>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</si>
  <si>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</si>
  <si>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</si>
  <si>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</si>
  <si>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</si>
  <si>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</si>
  <si>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</si>
  <si>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</si>
  <si>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</si>
  <si>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</si>
  <si>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</si>
  <si>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</si>
  <si>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</si>
  <si>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</si>
  <si>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</si>
  <si>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</si>
  <si>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</si>
  <si>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</si>
  <si>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</si>
  <si>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</si>
  <si>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</si>
  <si>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</si>
  <si>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</si>
  <si>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</si>
  <si>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</si>
  <si>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</si>
  <si>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</si>
  <si>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</si>
  <si>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</si>
  <si>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</si>
  <si>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</si>
  <si>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</si>
  <si>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</si>
  <si>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</si>
  <si>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</si>
  <si>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</si>
  <si>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</si>
  <si>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</si>
  <si>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</si>
  <si>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</si>
  <si>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</si>
  <si>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</si>
  <si>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</si>
  <si>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</si>
  <si>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</si>
  <si>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</si>
  <si>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</si>
  <si>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</si>
  <si>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</si>
  <si>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</si>
  <si>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</si>
  <si>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</si>
  <si>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</si>
  <si>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</si>
  <si>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</si>
  <si>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</si>
  <si>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</si>
  <si>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</si>
  <si>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</si>
  <si>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</si>
  <si>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</si>
  <si>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</si>
  <si>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</si>
  <si>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</si>
  <si>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</si>
  <si>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</si>
  <si>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</si>
  <si>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</si>
  <si>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</si>
  <si>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</si>
  <si>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</si>
  <si>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</si>
  <si>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</si>
  <si>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</si>
  <si>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</si>
  <si>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</si>
  <si>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</si>
  <si>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</si>
  <si>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</si>
  <si>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</si>
  <si>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</si>
  <si>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</si>
  <si>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</si>
  <si>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</si>
  <si>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</si>
  <si>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</si>
  <si>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</si>
  <si>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</si>
  <si>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</si>
  <si>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</si>
  <si>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</si>
  <si>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</si>
  <si>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</si>
  <si>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</si>
  <si>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</si>
  <si>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</si>
  <si>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</si>
  <si>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</si>
  <si>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</si>
  <si>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</si>
  <si>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</si>
  <si>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</si>
  <si>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</si>
  <si>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</si>
  <si>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</si>
  <si>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</si>
  <si>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</si>
  <si>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</si>
  <si>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</si>
  <si>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</si>
  <si>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</si>
  <si>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</si>
  <si>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</si>
  <si>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</si>
  <si>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</si>
  <si>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</si>
  <si>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</si>
  <si>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</si>
  <si>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</si>
  <si>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</si>
  <si>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</si>
  <si>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</si>
  <si>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</si>
  <si>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</si>
  <si>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</si>
  <si>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</si>
  <si>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</si>
  <si>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</si>
  <si>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</si>
  <si>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</si>
  <si>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</si>
  <si>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</si>
  <si>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</si>
  <si>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</si>
  <si>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</si>
  <si>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</si>
  <si>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</si>
  <si>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</si>
  <si>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</si>
  <si>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</si>
  <si>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</si>
  <si>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</si>
  <si>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</si>
  <si>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</si>
  <si>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</si>
  <si>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</si>
  <si>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</si>
  <si>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</si>
  <si>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</si>
  <si>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</si>
  <si>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</si>
  <si>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</si>
  <si>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</si>
  <si>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</si>
  <si>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</si>
  <si>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</si>
  <si>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</si>
  <si>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</si>
  <si>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</si>
  <si>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</si>
  <si>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</si>
  <si>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</si>
  <si>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</si>
  <si>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</si>
  <si>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</si>
  <si>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</si>
  <si>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</si>
  <si>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</si>
  <si>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</si>
  <si>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</si>
  <si>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</si>
  <si>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</si>
  <si>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</si>
  <si>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</si>
  <si>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</si>
  <si>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</si>
  <si>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</si>
  <si>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</si>
  <si>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</si>
  <si>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</si>
  <si>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</si>
  <si>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</si>
  <si>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</si>
  <si>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</si>
  <si>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</si>
  <si>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</si>
  <si>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</si>
  <si>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</si>
  <si>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</si>
  <si>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</si>
  <si>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</si>
  <si>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</si>
  <si>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</si>
  <si>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</si>
  <si>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</si>
  <si>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</si>
  <si>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</si>
  <si>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</si>
  <si>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</si>
  <si>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</si>
  <si>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</si>
  <si>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</si>
  <si>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</si>
  <si>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</si>
  <si>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</si>
  <si>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</si>
  <si>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</si>
  <si>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</si>
  <si>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</si>
  <si>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</si>
  <si>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</si>
  <si>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</si>
  <si>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</si>
  <si>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</si>
  <si>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</si>
  <si>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</si>
  <si>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</si>
  <si>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</si>
  <si>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</si>
  <si>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</si>
  <si>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</si>
  <si>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</si>
  <si>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</si>
  <si>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</si>
  <si>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</si>
  <si>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</si>
  <si>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</si>
  <si>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</si>
  <si>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</si>
  <si>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</si>
  <si>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</si>
  <si>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</si>
  <si>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</si>
  <si>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</si>
  <si>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</si>
  <si>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</si>
  <si>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</si>
  <si>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</si>
  <si>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</si>
  <si>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</si>
  <si>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</si>
  <si>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</si>
  <si>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</si>
  <si>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</si>
  <si>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</si>
  <si>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</si>
  <si>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</si>
  <si>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</si>
  <si>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</si>
  <si>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</si>
  <si>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</si>
  <si>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</si>
  <si>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</si>
  <si>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</si>
  <si>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</si>
  <si>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</si>
  <si>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</si>
  <si>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</si>
  <si>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</si>
  <si>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</si>
  <si>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</si>
  <si>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</si>
  <si>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</si>
  <si>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</si>
  <si>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</si>
  <si>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</si>
  <si>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</si>
  <si>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</si>
  <si>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</si>
  <si>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</si>
  <si>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</si>
  <si>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</si>
  <si>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</si>
  <si>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</si>
  <si>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</si>
  <si>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</si>
  <si>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</si>
  <si>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</si>
  <si>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</si>
  <si>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</si>
  <si>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</si>
  <si>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</si>
  <si>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</si>
  <si>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</si>
  <si>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</si>
  <si>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</si>
  <si>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</si>
  <si>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</si>
  <si>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</si>
  <si>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</si>
  <si>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</si>
  <si>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</si>
  <si>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</si>
  <si>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</si>
  <si>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</si>
  <si>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</si>
  <si>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</si>
  <si>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</si>
  <si>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</si>
  <si>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</si>
  <si>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</si>
  <si>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</si>
  <si>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</si>
  <si>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</si>
  <si>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</si>
  <si>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</si>
  <si>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</si>
  <si>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</si>
  <si>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</si>
  <si>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</si>
  <si>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</si>
  <si>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</si>
  <si>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</si>
  <si>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</si>
  <si>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</si>
  <si>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</si>
  <si>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</si>
  <si>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</si>
  <si>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</si>
  <si>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</si>
  <si>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</si>
  <si>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</si>
  <si>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</si>
  <si>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</si>
  <si>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</si>
  <si>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</si>
  <si>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</si>
  <si>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</si>
  <si>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</si>
  <si>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</si>
  <si>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</si>
  <si>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</si>
  <si>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</si>
  <si>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</si>
  <si>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</si>
  <si>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</si>
  <si>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</si>
  <si>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</si>
  <si>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</si>
  <si>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</si>
  <si>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</si>
  <si>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</si>
  <si>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</si>
  <si>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</si>
  <si>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</si>
  <si>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</si>
  <si>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</si>
  <si>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</si>
  <si>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</si>
  <si>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</si>
  <si>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</si>
  <si>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</si>
  <si>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</si>
  <si>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</si>
  <si>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</si>
  <si>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</si>
  <si>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</si>
  <si>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</si>
  <si>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</si>
  <si>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</si>
  <si>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</si>
  <si>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</si>
  <si>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</si>
  <si>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</si>
  <si>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</si>
  <si>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</si>
  <si>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</si>
  <si>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</si>
  <si>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</si>
  <si>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</si>
  <si>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</si>
  <si>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</si>
  <si>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</si>
  <si>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</si>
  <si>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</si>
  <si>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</si>
  <si>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</si>
  <si>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</si>
  <si>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</si>
  <si>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</si>
  <si>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</si>
  <si>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</si>
  <si>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</si>
  <si>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</si>
  <si>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</si>
  <si>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</si>
  <si>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</si>
  <si>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</si>
  <si>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</si>
  <si>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</si>
  <si>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</si>
  <si>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</si>
  <si>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</si>
  <si>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</si>
  <si>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</si>
  <si>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</si>
  <si>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</si>
  <si>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</si>
  <si>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</si>
  <si>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</si>
  <si>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</si>
  <si>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</si>
  <si>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</si>
  <si>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</si>
  <si>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</si>
  <si>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</si>
  <si>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</si>
  <si>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</si>
  <si>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</si>
  <si>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</si>
  <si>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</si>
  <si>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</si>
  <si>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</si>
  <si>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</si>
  <si>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</si>
  <si>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</si>
  <si>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</si>
  <si>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</si>
  <si>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</si>
  <si>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</si>
  <si>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</si>
  <si>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</si>
  <si>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</si>
  <si>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</si>
  <si>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</si>
  <si>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</si>
  <si>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</si>
  <si>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</si>
  <si>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</si>
  <si>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</si>
  <si>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</si>
  <si>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</si>
  <si>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</si>
  <si>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</si>
  <si>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</si>
  <si>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</si>
  <si>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</si>
  <si>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</si>
  <si>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</si>
  <si>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</si>
  <si>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</si>
  <si>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</si>
  <si>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</si>
  <si>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</si>
  <si>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</si>
  <si>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</si>
  <si>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</si>
  <si>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</si>
  <si>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</si>
  <si>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</si>
  <si>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</si>
  <si>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</si>
  <si>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</si>
  <si>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</si>
  <si>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</si>
  <si>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</si>
  <si>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</si>
  <si>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</si>
  <si>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</si>
  <si>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</si>
  <si>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</si>
  <si>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</si>
  <si>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</si>
  <si>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</si>
  <si>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</si>
  <si>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</si>
  <si>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</si>
  <si>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</si>
  <si>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</si>
  <si>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</si>
  <si>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</si>
  <si>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</si>
  <si>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</si>
  <si>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</si>
  <si>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</si>
  <si>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</si>
  <si>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</si>
  <si>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</si>
  <si>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</si>
  <si>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</si>
  <si>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</si>
  <si>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</si>
  <si>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</si>
  <si>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</si>
  <si>
    <t>Lead</t>
  </si>
  <si>
    <t>Axel Rogge</t>
  </si>
  <si>
    <t>+491725187026</t>
  </si>
  <si>
    <t>Karim  Maghrebi</t>
  </si>
  <si>
    <t>Info Vitalis</t>
  </si>
  <si>
    <t>Rosi Hennig-Pfeffer</t>
  </si>
  <si>
    <t>+4989355476</t>
  </si>
  <si>
    <t>Helga Konig</t>
  </si>
  <si>
    <t>+4915224475472</t>
  </si>
  <si>
    <t>Margot Ettenhuber</t>
  </si>
  <si>
    <t>+4917612014000</t>
  </si>
  <si>
    <t>Susanna Müller</t>
  </si>
  <si>
    <t>+4915115271093</t>
  </si>
  <si>
    <t>Ingrid Schöfer</t>
  </si>
  <si>
    <t>+4981655378</t>
  </si>
  <si>
    <t>Trausan N/A</t>
  </si>
  <si>
    <t>+491794645206</t>
  </si>
  <si>
    <t>Corrado Di Pancrazio</t>
  </si>
  <si>
    <t>+491733534705</t>
  </si>
  <si>
    <t>Ceylan Halili</t>
  </si>
  <si>
    <t>+4915206372532</t>
  </si>
  <si>
    <t>Neue Anfrage</t>
  </si>
  <si>
    <t>Christiane Dini</t>
  </si>
  <si>
    <t>+49 1718527077</t>
  </si>
  <si>
    <t>Christine Ruff</t>
  </si>
  <si>
    <t>+49 810632445</t>
  </si>
  <si>
    <t>Elisabeth Hondl</t>
  </si>
  <si>
    <t>Ingrid Kain</t>
  </si>
  <si>
    <t>Isolde Kettenstock</t>
  </si>
  <si>
    <t>+49 812178692</t>
  </si>
  <si>
    <t>Klaus Schwarz-Seelig</t>
  </si>
  <si>
    <t>+49 87114229465</t>
  </si>
  <si>
    <t>Manfred Pfaff</t>
  </si>
  <si>
    <t>+49 1735674804</t>
  </si>
  <si>
    <t>Mary Akbulut</t>
  </si>
  <si>
    <t>Teresia Fleck</t>
  </si>
  <si>
    <t>Irene Schnell</t>
  </si>
  <si>
    <t>Meggy Kaiser</t>
  </si>
  <si>
    <t>+49 16097008155</t>
  </si>
  <si>
    <t>Andrea Greim</t>
  </si>
  <si>
    <t>+4915142668885</t>
  </si>
  <si>
    <t>Susanna Teschner</t>
  </si>
  <si>
    <t>+4917624280678</t>
  </si>
  <si>
    <t>Walter Mühlen</t>
  </si>
  <si>
    <t>+491794647340</t>
  </si>
  <si>
    <t>Jasmin Scior</t>
  </si>
  <si>
    <t>+491785541678</t>
  </si>
  <si>
    <t>manooch.derakhshan derakhshan</t>
  </si>
  <si>
    <t>+498719740630</t>
  </si>
  <si>
    <t>Nadine Neumann</t>
  </si>
  <si>
    <t>+4915222313822</t>
  </si>
  <si>
    <t>Edith Sonntag</t>
  </si>
  <si>
    <t>+498943660970</t>
  </si>
  <si>
    <t>Annelise Stadler</t>
  </si>
  <si>
    <t>+49 8111492</t>
  </si>
  <si>
    <t>Elisabeth Spitzweck</t>
  </si>
  <si>
    <t>+49 81659240131</t>
  </si>
  <si>
    <t>Karin Meier</t>
  </si>
  <si>
    <t>+49 1724319483</t>
  </si>
  <si>
    <t>Magda Langenbach</t>
  </si>
  <si>
    <t>+49 15209288598</t>
  </si>
  <si>
    <t>+49 81215798</t>
  </si>
  <si>
    <t>Sirikit Hermann</t>
  </si>
  <si>
    <t>+49 17645530906</t>
  </si>
  <si>
    <t>Tim Douglas</t>
  </si>
  <si>
    <t>+49 1752796040</t>
  </si>
  <si>
    <t>+49 15231945735</t>
  </si>
  <si>
    <t>5c95fc70-05bd-4d32-a85b-c74d8c484e7f</t>
  </si>
  <si>
    <t>8e3b5bd0-0b63-459a-9fec-b05051119aac</t>
  </si>
  <si>
    <t>9ae7744b-fbb2-4091-935d-aa43cb1e034a</t>
  </si>
  <si>
    <t>80eff84a-a93d-44bc-ac32-d302ed07c8df</t>
  </si>
  <si>
    <t>53344d96-d122-4889-8ba2-226833e34b86</t>
  </si>
  <si>
    <t>6842263e-8edb-4bd0-851a-ce3e3d998f41</t>
  </si>
  <si>
    <t>A305c19d-b3b1-4427-90ce-9470ebeeac02</t>
  </si>
  <si>
    <t>C38ad313-71d4-41be-8dc4-79350c6cc71d</t>
  </si>
  <si>
    <t>F8b3c96d-20fb-4e12-affa-82d39740bbca</t>
  </si>
  <si>
    <t>Münchner Straße 30 c</t>
  </si>
  <si>
    <t>Rosenstr. 23D</t>
  </si>
  <si>
    <t>adlerstraße 19</t>
  </si>
  <si>
    <t>DE-85599 hergolding</t>
  </si>
  <si>
    <t>0ba309b9-8ef8-4a69-be4f-c9bdb3df4f6f</t>
  </si>
  <si>
    <t>5a551a4e-2b9b-402d-bf18-0259e5130dc0</t>
  </si>
  <si>
    <t>93eb825b-7876-4434-a417-ddba5b654acc</t>
  </si>
  <si>
    <t>187fb3bf-0595-4662-817d-b7b1bac9d2e9</t>
  </si>
  <si>
    <t>220bdb65-7229-493f-878f-ff1407b6f199</t>
  </si>
  <si>
    <t>1437cd9d-9591-40ec-9215-b8423fa4ab76</t>
  </si>
  <si>
    <t>F6c078e5-bf46-4ff3-9f5e-277a0f9c9abe</t>
  </si>
  <si>
    <t>DE-85399 Hallbergmoos</t>
  </si>
  <si>
    <t>Schwillacher Str. 1</t>
  </si>
  <si>
    <t>Edeltraud Hörath</t>
  </si>
  <si>
    <t>+49 87120219142</t>
  </si>
  <si>
    <t>Betreff: WG: Neue Anfrage: Edeltraud Hörath
Datei: WG_ Neue Anfrage_ Edeltraud Hörath.eml
E-Mail: elstneredeltraud@web.de
Erreichbarkeit: Ganztägig telefonisch gut erreichbar
Senior Name: Edeltraud Hörath
Beziehung: Klient selbst
Alter: 67
Lebenssituation: Lebt alleine, Mehrfamilienhaus (MFH), Wohnung
Mobilität: Mobil im Rollstuhl
Medizinisches: Gehbehinderung
Aufgaben: Einkaufen, Putzen und Staubsaugen
Wöchentlicher Umfang: Ein- bis zweimal im Monat
Umfang am Stück: 1 bis 2 Stunden
Abrechnung über Bet.- &amp; Entlastungsleistungen: Ja
Pflegedienst vorhanden: Nein
Anfragedetails: Haushaltshilfe
Weitere Details: Pflegegrad/-stufe: 2
Bedarf: In Wochen
Bedarfsort Ort: Altdorf-DE
Anschrift: Dekan Wagner Strasse 4
ID: 11751955</t>
  </si>
  <si>
    <t>Dekan Wagner Strasse 4</t>
  </si>
  <si>
    <t>Betreff: WG: Neue Anfrage: Manfred Kosak
Datei: WG_ Neue Anfrage_ Manfred Kosak.eml
E-Mail: manfred.kosak@t-online.de
Erreichbarkeit: Ganztägig telefonisch gut erreichbar
Senior Name: o.A. o.A.
Beziehung: Ehepartner
Alter: 88
Lebenssituation: Einfamilienhaus (EFH), Lebt mit Ehepartnerin
Mobilität: Bettlägerig
Medizinisches: Altersschwäche
Aufgaben: Betreuung + Haushalt
Wöchentlicher Umfang: Täglich
Umfang am Stück: Mehr als 2 Stunden
Abrechnung über Bet.- &amp; Entlastungsleistungen: Ja
Anfragedetails: Std. Betreuung
Weitere Details: Pflegegrad/-stufe: 1
Bedarf: Schnellstmöglich
Bedarfsort Ort: Ottenhofen-DE
Anschrift: Schwillacher Str. 1
Budgetrahmen: 25 € bis 55 € pro Stunde
Geschlecht Betreuungskraft: Weiblich
ID: 11745845</t>
  </si>
  <si>
    <t>Sabine Bäuml</t>
  </si>
  <si>
    <t>+49 1717265494</t>
  </si>
  <si>
    <t>Betreff: WG: Neue Anfrage: Sabine Bäuml
Datei: WG_ Neue Anfrage_ Sabine Bäuml.eml
E-Mail: sabine@baeumls.de
Erreichbarkeit: Ganztägig telefonisch gut erreichbar
Senior Name: Sabine Bäuml
Beziehung: Ehepartner
Lebenssituation: Lebt mit Ehepartnerin, Mehrfamilienhaus (MFH), Wohnung
Mobilität: Mobil im Rollstuhl
Medizinisches: Gehirntumor, Lähmungen
Aufgaben: Betreuung + Haushalt
Wöchentlicher Umfang: Einmal wöchentlich
Umfang am Stück: 1 Stunde
Abrechnung über Bet.- &amp; Entlastungsleistungen: Ja
Anfragedetails: Std. Betreuung
Weitere Details: Pflegegrad/-stufe: 2
Bedarf: Schnellstmöglich
Bedarfsort Ort: Oberding-DE
Budgetrahmen: 25 € bis 55 € pro Stunde
Geschlecht Betreuungskraft: Weiblich
ID: 11737061</t>
  </si>
  <si>
    <t>Manfred Kosak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</si>
  <si>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Häufigkeit: 1x pro Woche
ID: 8e3b5bd0-0b63-459a-9fec-b05051119aac</t>
  </si>
  <si>
    <t>Betreff: Fw: Alltagshilfe Lead | ID: 9ae7744b-fbb2-4091-935d-aa43cb1e034a
Datei: Fw_ Alltagshilfe Lead | ID_ 9ae7744b-fbb2-4091-935d-aa43cb1e034a.eml
E-Mail: helgakonig68@gmail.com
Senior Name: Helga Konig
Pflegegrad Status: Pflegegrad vorhanden
Nutzer: Selbst
Alltagshilfe Aufgaben: hauswirtschaft
Alltagshilfe Häufigkeit: 1x pro Woche
ID: 9ae7744b-fbb2-4091-935d-aa43cb1e034a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</si>
  <si>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</si>
  <si>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Betreff: Fw: Alltagshilfe Lead | ID: 53344d96-d122-4889-8ba2-226833e34b86
Datei: Fw_ Alltagshilfe Lead | ID_ 53344d96-d122-4889-8ba2-226833e34b86.eml
E-Mail: susanna31@gmx.de
Senior Name: Susanna Müller
Pflegegrad Status: Pflegegrad vorhanden
Nutzer: Verwandter
Alltagshilfe Aufgaben: soziale_betreuung
Alltagshilfe Häufigkeit: N/A
ID: 53344d96-d122-4889-8ba2-226833e34b86</t>
  </si>
  <si>
    <t>Betreff: Fw: Alltagshilfe Lead | ID: 6842263e-8edb-4bd0-851a-ce3e3d998f41
Datei: Fw_ Alltagshilfe Lead | ID_ 6842263e-8edb-4bd0-851a-ce3e3d998f41.eml
E-Mail: ischoefer@t-online.de
Senior Name: Ingrid Schöfer
Pflegegrad Status: Pflegegrad beantragt
Nutzer: Selbst
Alltagshilfe Aufgaben: hauswirtschaft
Alltagshilfe Häufigkeit: 1x pro Woche
ID: 6842263e-8edb-4bd0-851a-ce3e3d998f41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</si>
  <si>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Häufigkeit: 1x pro Woche
ID: A305c19d-b3b1-4427-90ce-9470ebeeac02</t>
  </si>
  <si>
    <t>Betreff: Fw: Alltagshilfe Lead | ID: c38ad313-71d4-41be-8dc4-79350c6cc71d
Datei: Fw_ Alltagshilfe Lead | ID_ c38ad313-71d4-41be-8dc4-79350c6cc71d.eml
E-Mail: marcodipancrazio@yahoo.de
Senior Name: Corrado Di Pancrazio
Pflegegrad Status: Pflegegrad vorhanden
Nutzer: Verwandter
Alltagshilfe Aufgaben: hauswirtschaft
Alltagshilfe Häufigkeit: 1x pro Woche
ID: C38ad313-71d4-41be-8dc4-79350c6cc71d</t>
  </si>
  <si>
    <t>Betreff: Fw: Alltagshilfe Lead | ID: f8b3c96d-20fb-4e12-affa-82d39740bbca
Datei: Fw_ Alltagshilfe Lead | ID_ f8b3c96d-20fb-4e12-affa-82d39740bbca.eml
E-Mail: ceylan.halili@yahoo.de
Senior Name: Ceylan Halili
Pflegegrad Status: Pflegegrad vorhanden
Nutzer: Verwandter
Alltagshilfe Aufgaben: hauswirtschaft
Alltagshilfe Häufigkeit: 1x pro Woche
ID: F8b3c96d-20fb-4e12-affa-82d39740bbca</t>
  </si>
  <si>
    <t>Brigitte Müller-Gesser</t>
  </si>
  <si>
    <t>Betreff: Fw: Neue Anfrage: Brigitte Müller-Gesser
Datei: Fw_ Neue Anfrage_ Brigitte Müller-Gesser.eml
E-Mail: brigittemuge@t-online.de
Erreichbarkeit: Nachmittags &amp; abends telefonisch gut erreichbar
Senior Name: Brigitte Müller-Gesser
Beziehung: Klient selbst
Lebenssituation: Lebt alleine, Wohnung
Mobilität: Mobil mit Rollator
Medizinisches: Mobilitätseinschränkungen, Künstliches Knie, Polyneuropathie
Aufgaben: Putzen und Staubsaugen
Wöchentlicher Umfang: Ein- bis zweimal im Monat
Umfang am Stück: Mehr als 2 Stunden
Abrechnung über Bet.- &amp; Entlastungsleistungen: Ja
Pflegedienst vorhanden: Nein
Anfragedetails: Haushaltshilfe
Weitere Details: Pflegegrad/-stufe: 2
Bedarf: Schnellstmöglich
Bedarfsort Ort: München-DE
ID: 11540937</t>
  </si>
  <si>
    <t>ⓘ</t>
  </si>
  <si>
    <t>Hinweis</t>
  </si>
  <si>
    <t>Namens-Vertauschung erkannt: 'Christiane Dini' vs. bestehend 'Dini Christiane'</t>
  </si>
  <si>
    <t>Name wird als 'Christiane Dini' eingetragen. Leadtyp: Neue Anfrage, Datum: 02.01.26</t>
  </si>
  <si>
    <t>Betreff: Fw: Neue Anfrage: Christiane Dini
Datei: Fw_ Neue Anfrage_ Christiane Dini.eml
E-Mail: chris220182@web.de
Erreichbarkeit: Nachmittags &amp; abends telefonisch gut erreichbar
Senior Name: Christiane Dini
Beziehung: Vater
Lebenssituation: Einfamilienhaus (EFH), Lebt mit Ehepartnerin
Mobilität: Bettlägerig, stundenweise mobilisierbar
Medizinisches: Körperlich eingeschränkt
Aufgaben: Einkaufen, Mahlzeit vorbereiten, Geschirr spülen, Wäsche waschen, Bügeln, Putzen, Staubsaugen und Fenster putzen
Wöchentlicher Umfang: Täglich
Umfang am Stück: 1 bis 2 Stunden
Abrechnung über Bet.- &amp; Entlastungsleistungen: Ja
Pflegedienst vorhanden: Nein
Anfragedetails: Haushaltshilfe
Weitere Details: Pflegegrad/-stufe: 1
Bedarf: In Wochen
Bedarfsort Ort: Zolling-DE
ID: 11583748</t>
  </si>
  <si>
    <t>Betreff: Fw: Neue Anfrage: Christine Ruff
Datei: Fw_ Neue Anfrage_ Christine Ruff 2.eml
E-Mail: jruff@t-online.de
Erreichbarkeit: Ganztägig telefonisch gut erreichbar
Senior Name: Christine Ruff
Beziehung: Klient selbst
Alter: 75
Lebenssituation: Wohnung
Mobilität: Mobil mit Rollator
Medizinisches: COPD, Krebs
Aufgaben: Nur Betreuung
Wöchentlicher Umfang: Einmal wöchentlich
Umfang am Stück: 1 Stunde
Abrechnung über Bet.- &amp; Entlastungsleistungen: Ja
Anfragedetails: Std. Betreuung
Weitere Details: Pflegegrad/-stufe: 2
Bedarf: Schnellstmöglich
Bedarfsort Ort: Zorneding-DE
Anschrift: Münchner Straße 30 c
Budgetrahmen: 25 € bis 55 € pro Stunde
Geschlecht Betreuungskraft: Weiblich oder Männlich
ID: 11566902</t>
  </si>
  <si>
    <t>Betreff: Fw: Neue Anfrage: Elisabeth Hondl
Datei: Fw_ Neue Anfrage_ Elisabeth Hondl.eml
E-Mail: elisabeth.beate@gmx.de
Erreichbarkeit: Ganztägig telefonisch gut erreichbar
Senior Name: Elisabeth Hondl
Beziehung: Klient selbst
Alter: 78
Lebenssituation: Lebt alleine
Mobilität: Mobil mit Rollator
Medizinisches: Altersschwäche, Altersvergesslichkeit
Aufgaben: Putzen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Schweitenkirchen-DE
ID: 11540991</t>
  </si>
  <si>
    <t>Betreff: Fw: Neue Anfrage: Ingrid Kain
Datei: Fw_ Neue Anfrage_ Ingrid Kain.eml
E-Mail: gerhard.kain@gmx.de
Erreichbarkeit: Ganztägig telefonisch gut erreichbar
Senior Name: Ingrid Kain
Beziehung: Vater
Lebenssituation: Lebt mit Ehepartnerin
Mobilität: Mobil mit Rollator
Medizinisches: Körperlich eingeschränkt, Sehbehinderung
Aufgaben: Betreuung + Haushalt
Wöchentlicher Umfang: Einmal wöchentlich
Umfang am Stück: 1 Stunde
Abrechnung über Bet.- &amp; Entlastungsleistungen: Ja
Anfragedetails: Std. Betreuung
Weitere Details: Pflegegrad/-stufe: 3
Bedarf: In Wochen
Bedarfsort Ort: Langenbach-DE
Budgetrahmen: 25 € bis 55 € pro Stunde
Geschlecht Betreuungskraft: Weiblich
ID: 11595965</t>
  </si>
  <si>
    <t>Betreff: Fw: Neue Anfrage: Isolde Kettenstock
Datei: Fw_ Neue Anfrage_ Isolde Kettenstock.eml
E-Mail: kettenstock@t-online.de
Erreichbarkeit: Ganztägig telefonisch gut erreichbar
Senior Name: Isolde Kettenstock
Beziehung: Ehepartner
Lebenssituation: Lebt mit Ehepartnerin
Mobilität: Mobil im Rollstuhl
Medizinisches: Rückenprobleme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Poing-DE
Anschrift: Rosenstr. 23D
ID: 11577062</t>
  </si>
  <si>
    <t>Betreff: Fw: Neue Anfrage: Klaus Schwarz-Seelig
Datei: Fw_ Neue Anfrage_ Klaus Schwarz-Seelig.eml
E-Mail: kb.schwasee@web.de
Erreichbarkeit: Ganztägig telefonisch gut erreichbar
Senior Name: Brigitta Schwarz-Seelig
Beziehung: Ehepartner
Alter: k.A.
Lebenssituation: Lebt alleine
Mobilität: Mobil ohne Hilfsmittel
Medizinisches: Altersschwäche
Aufgaben: Putzen und Staubsaugen
Wöchentlicher Umfang: Einmal wöchentlich
Umfang am Stück: 1 bis 2 Stunden
Abrechnung über Bet.- &amp; Entlastungsleistungen: Ja
Pflegedienst vorhanden: Nein
Anfragedetails: Haushaltshilfe
Weitere Details: Pflegegrad/-stufe: 2
Bedarf: Schnellstmöglich
Bedarfsort Ort: Kumhausen-DE
Anschrift: adlerstraße 19
ID: 11578113</t>
  </si>
  <si>
    <t>Betreff: Fw: Neue Anfrage: Manfred Pfaff
Datei: Fw_ Neue Anfrage_ Manfred Pfaff.eml
E-Mail: fredi.pfaff@gmx.de
Erreichbarkeit: Ganztägig telefonisch gut erreichbar
Senior Name: Manfred Pfaff
Beziehung: Vater
Lebenssituation: Einfamilienhaus (EFH)
Mobilität: Bettlägerig
Medizinisches: Sturzfolgen
Aufgaben: Grundpflege + Betreuung + Haushalt
Wöchentlicher Umfang: Mehrmals wöchentlich
Umfang am Stück: 2 Stunden
Abrechnung über Bet.- &amp; Entlastungsleistungen: Ja
Anfragedetails: Std. Betreuung
Weitere Details: Pflegegrad/-stufe: 2
Bedarf: In Monaten
Bedarfsort Ort: Hergolding-DE
Anschrift: DE-85599 hergolding
Budgetrahmen: 25 € bis 55 € pro Stunde
Geschlecht Betreuungskraft: Weiblich oder Männlich
ID: 11599636</t>
  </si>
  <si>
    <t>Betreff: Fw: Neue Anfrage: Mary Akbulut
Datei: Fw_ Neue Anfrage_ Mary Akbulut.eml
E-Mail: m.aynace@icloud.com
Erreichbarkeit: Ganztägig telefonisch gut erreichbar
Senior Name: Mary Akbulut
Beziehung: Kind
Lebenssituation: Lebt mit Ehepartnerin
Mobilität: Mobil ohne Hilfsmittel
Medizinisches: ADS/ADHS
Aufgaben: Mahlzeit vorbereiten, Putzen, Staubsaugen und Fenster putzen
Wöchentlicher Umfang: Einmal wöchentlich
Umfang am Stück: 1 bis 2 Stunden
Abrechnung über Bet.- &amp; Entlastungsleistungen: Ja
Pflegedienst vorhanden: Nein
Anfragedetails: Haushaltshilfe
Weitere Details: Pflegegrad/-stufe: 3
Bedarf: In Wochen
Bedarfsort Ort: Freising-DE
ID: 11549516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</si>
  <si>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</si>
  <si>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Betreff: WG: Alltagshilfe Lead | ID: 0ba309b9-8ef8-4a69-be4f-c9bdb3df4f6f
Datei: WG_ Alltagshilfe Lead | ID_ 0ba309b9-8ef8-4a69-be4f-c9bdb3df4f6f.eml
E-Mail: andrea@greim.eu
Senior Name: Andrea Greim
Pflegegrad Status: N/A
Nutzer: N/A
Alltagshilfe Aufgaben: hauswirtschaft, soziale_betreuung
Alltagshilfe Häufigkeit: Mehr als 2x pro Woche
ID: 0ba309b9-8ef8-4a69-be4f-c9bdb3df4f6f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</si>
  <si>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Häufigkeit: 1x pro Woche
ID: 5a551a4e-2b9b-402d-bf18-0259e5130dc0</t>
  </si>
  <si>
    <t>Betreff: WG: Alltagshilfe Lead | ID: 5c95fc70-05bd-4d32-a85b-c74d8c484e7f
Datei: WG_ Alltagshilfe Lead | ID_ 5c95fc70-05bd-4d32-a85b-c74d8c484e7f 2.eml
E-Mail: nicole_ehrlich@yahoo.de
Senior Name: Axel Rogge
Pflegegrad Status: Pflegegrad beantragt
Nutzer: Selbst
Alltagshilfe Aufgaben: hauswirtschaft
Alltagshilfe Häufigkeit: 1x pro Woche
ID: 5c95fc70-05bd-4d32-a85b-c74d8c484e7f</t>
  </si>
  <si>
    <t>Betreff: WG: Alltagshilfe Lead | ID: 93eb825b-7876-4434-a417-ddba5b654acc
Datei: WG_ Alltagshilfe Lead | ID_ 93eb825b-7876-4434-a417-ddba5b654acc.eml
E-Mail: walter.muehlen@t-online.de
Senior Name: Walter Mühlen
Pflegegrad Status: Pflegegrad vorhanden
Nutzer: Verwandter
Alltagshilfe Aufgaben: hauswirtschaft
Alltagshilfe Häufigkeit: 1x pro Woche
ID: 93eb825b-7876-4434-a417-ddba5b654acc</t>
  </si>
  <si>
    <t>Betreff: WG: Alltagshilfe Lead | ID: 187fb3bf-0595-4662-817d-b7b1bac9d2e9
Datei: WG_ Alltagshilfe Lead | ID_ 187fb3bf-0595-4662-817d-b7b1bac9d2e9.eml
E-Mail: jasisci@yahoo.de
Senior Name: Jasmin Scior
Pflegegrad Status: Pflegegrad vorhanden
Nutzer: Verwandter
Alltagshilfe Aufgaben: hauswirtschaft
Alltagshilfe Häufigkeit: 1x pro Woche
ID: 187fb3bf-0595-4662-817d-b7b1bac9d2e9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</si>
  <si>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Häufigkeit: Mehr als 2x pro Woche
ID: 220bdb65-7229-493f-878f-ff1407b6f199</t>
  </si>
  <si>
    <t>Betreff: WG: Alltagshilfe Lead | ID: 1437cd9d-9591-40ec-9215-b8423fa4ab76
Datei: WG_ Alltagshilfe Lead | ID_ 1437cd9d-9591-40ec-9215-b8423fa4ab76.eml
E-Mail: nadine.gz.neumann@gmail.com
Senior Name: Nadine Neumann
Pflegegrad Status: Pflegegrad vorhanden
Nutzer: Verwandter
Alltagshilfe Aufgaben: hauswirtschaft
Alltagshilfe Häufigkeit: 1x pro Woche
ID: 1437cd9d-9591-40ec-9215-b8423fa4ab76</t>
  </si>
  <si>
    <t>Betreff: WG: Alltagshilfe Lead | ID: f6c078e5-bf46-4ff3-9f5e-277a0f9c9abe
Datei: WG_ Alltagshilfe Lead | ID_ f6c078e5-bf46-4ff3-9f5e-277a0f9c9abe.eml
E-Mail: info@edithsonntag.de
Senior Name: Edith Sonntag
Pflegegrad Status: Pflegegrad vorhanden
Nutzer: Verwandter
Alltagshilfe Aufgaben: hauswirtschaft
Alltagshilfe Häufigkeit: 2x pro Woche
ID: F6c078e5-bf46-4ff3-9f5e-277a0f9c9abe</t>
  </si>
  <si>
    <t>Betreff: WG: Neue Anfrage: Annelise Stadler
Datei: WG_ Neue Anfrage_ Annelise Stadler.eml
E-Mail: AST2070@t-online.de
Erreichbarkeit: Ganztägig telefonisch gut erreichbar
Senior Name: Annelise Stadler
Beziehung: Klient selbst
Alter: 74
Lebenssituation: Lebt alleine
Mobilität: Mobil mit Rollator
Medizinisches: Altersschwäche, Inkontinenz
Aufgaben: Putzen und Staubsaugen
Wöchentlicher Umfang: Ein- bis zweimal im Monat
Umfang am Stück: 1 bis 2 Stunden
Abrechnung über Bet.- &amp; Entlastungsleistungen: Ja
Pflegedienst vorhanden: Nein
Anfragedetails: Haushaltshilfe
Weitere Details: Pflegegrad/-stufe: 2
Bedarf: Schnellstmöglich
Bedarfsort Ort: Hallbergmoos-DE
Anschrift: DE-85399 Hallbergmoos
ID: 11714018</t>
  </si>
  <si>
    <t>Betreff: WG: Neue Anfrage: Elisabeth Spitzweck
Datei: WG_ Neue Anfrage_ Elisabeth Spitzweck.eml
E-Mail: Elisabeth.Spitzweck@web.de
Erreichbarkeit: Ganztägig telefonisch gut erreichbar
Senior Name: Elisabeth Spitzweck
Beziehung: Bruder
Alter: 76
Lebenssituation: Lebt alleine
Mobilität: Mobil mit Rollator
Medizinisches: Altersschwäche, COPD
Aufgaben: Geschirr spülen, Wäsche waschen, Bügeln, Putzen und Staubsaugen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Neufahrn bei Freising-DE
ID: 11741409</t>
  </si>
  <si>
    <t>Betreff: WG: Neue Anfrage: Irene Schnell
Datei: WG_ Neue Anfrage_ Irene Schnell 2.eml
E-Mail: ireneschnell@web.de
Erreichbarkeit: Abends telefonisch gut erreichbar
Senior Name: Irene Schnell
Beziehung: Ehepartner
Lebenssituation: Lebt alleine
Mobilität: Mobil mit Rollator
Medizinisches: Altersschwäche
Aufgaben: Putzen und Staubsaugen
Wöchentlicher Umfang: Ein- bis zweimal im Monat
Umfang am Stück: Mehr als 2 Stunden
Abrechnung über Bet.- &amp; Entlastungsleistungen: Ja
Pflegedienst vorhanden: Nein
Anfragedetails: Haushaltshilfe
Weitere Details: Pflegegrad/-stufe: 1
Bedarf: Schnellstmöglich
Bedarfsort Ort: Neufahrn bei Freising-DE
ID: 11684846</t>
  </si>
  <si>
    <t>Betreff: WG: Neue Anfrage: Karin Meier
Datei: WG_ Neue Anfrage_ Karin Meier.eml
E-Mail: meierro@gmx.de
Erreichbarkeit: Ganztägig telefonisch gut erreichbar
Senior Name: Karin Meier
Beziehung: Vater
Lebenssituation: Lebt mit Ehepartnerin, Wohnung
Mobilität: Mobil mit Rollator
Medizinisches: Körperlich eingeschränkt, Altersschwäche, Depressionen
Aufgaben: Einkaufen, Mahlzeit vorbereiten, Geschirr spülen, Wäsche waschen, Bügeln, Putzen, Staubsaugen und Fenster putzen
Wöchentlicher Umfang: Täglich
Umfang am Stück: 1 bis 2 Stunden
Abrechnung über Bet.- &amp; Entlastungsleistungen: Ja
Pflegedienst vorhanden: Nein
Anfragedetails: Haushaltshilfe
Weitere Details: Pflegegrad/-stufe: 2
Bedarf: Schnellstmöglich
Bedarfsort Ort: Landshut-DE
ID: 11749972</t>
  </si>
  <si>
    <t>Betreff: WG: Neue Anfrage: Magda Langenbach
Datei: WG_ Neue Anfrage_ Magda Langenbach.eml
E-Mail: mala39@gmx.de
Erreichbarkeit: Ganztägig telefonisch gut erreichbar
Senior Name: Magda Langenbach
Beziehung: Klient selbst
Lebenssituation: Lebt mit Ehepartnerin, Wohnung
Mobilität: Mobil ohne Hilfsmittel
Medizinisches: Körperlich eingeschränkt
Aufgaben: Putzen, Staubsaugen und Fenster putzen
Wöchentlicher Umfang: Ein- bis zweimal im Monat
Umfang am Stück: Mehr als 2 Stunden
Abrechnung über Bet.- &amp; Entlastungsleistungen: Ja
Pflegedienst vorhanden: Nein
Anfragedetails: Haushaltshilfe
Weitere Details: Pflegegrad/-stufe: 2
Bedarf: Schnellstmöglich
Bedarfsort Ort: Vaterstetten-DE
ID: 11747500</t>
  </si>
  <si>
    <t>Betreff: WG: Neue Anfrage: Meggy Kaiser
Datei: WG_ Neue Anfrage_ Meggy Kaiser 2.eml
E-Mail: m.kaiser@meggy-k-munich.com
Erreichbarkeit: Nachmittags &amp; abends telefonisch gut erreichbar
Senior Name: Meggy Kaiser
Beziehung: Ehepartner
Lebenssituation: Lebt alleine, Wohnung
Mobilität: Mobil mit Rollator
Medizinisches: Altersschwäche
Aufgaben: Putzen, Staubsaugen und Fenster putzen
Wöchentlicher Umfang: Ein- bis zweimal im Monat
Umfang am Stück: Mehr als 2 Stunden
Abrechnung über Bet.- &amp; Entlastungsleistungen: Ja
Pflegedienst vorhanden: Nein
Anfragedetails: Haushaltshilfe
Weitere Details: Pflegegrad/-stufe: 1
Bedarf: Schnellstmöglich
Bedarfsort Ort: München-DE
ID: 11715949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</si>
  <si>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</si>
  <si>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Betreff: WG: Neue Anfrage: Tim Douglas
Datei: WG_ Neue Anfrage_ Tim Douglas.eml
E-Mail: timdouglas@gmx.de
Erreichbarkeit: Ganztägig telefonisch gut erreichbar
Senior Name: Nancy Douglas
Beziehung: Tochter
Alter: 1
Lebenssituation: Lebt mit Familie, Wohnung
Mobilität: Mobil im Rollstuhl
Medizinisches: Behinderung
Aufgaben: Geschirr spülen, Putzen und Staubsaugen
Wöchentlicher Umfang: Einmal wöchentlich
Umfang am Stück: Bis 1 Stunde
Abrechnung über Bet.- &amp; Entlastungsleistungen: Ja
Pflegedienst vorhanden: Nein
Anfragedetails: Haushaltshilfe
Weitere Details: Pflegegrad/-stufe: 2
Bedarf: Schnellstmöglich
Bedarfsort Ort: Freising-DE
ID: 11498210</t>
  </si>
  <si>
    <t>⚠</t>
  </si>
  <si>
    <t>Typ</t>
  </si>
  <si>
    <t>Zeitstempel</t>
  </si>
  <si>
    <t>Meldung</t>
  </si>
  <si>
    <t>Details / Ursache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</si>
</sst>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5" formatCode="mmmm\ d"/>
    <numFmt numFmtId="166" formatCode="#,##0.00\ &quot;€&quot;"/>
  </numFmts>
  <fonts count="23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  <font>
      <sz val="10"/>
      <color rgb="FF000000"/>
      <name val="Tahoma"/>
      <family val="2"/>
    </font>
    <font>
      <b/>
      <sz val="10"/>
      <color rgb="FFFFFFFF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80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5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6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wrapText="1"/>
    </xf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0" fontId="9" fillId="0" borderId="0" xfId="0" applyNumberFormat="1" applyFont="1" applyFill="1" applyAlignment="1">
      <alignment horizontal="center"/>
    </xf>
    <xf numFmtId="14" fontId="9" fillId="0" borderId="0" xfId="0" applyNumberFormat="1" applyFont="1" applyFill="1"/>
    <xf numFmtId="0" fontId="9" fillId="0" borderId="0" xfId="0" applyFont="1" applyFill="1" applyAlignment="1">
      <alignment wrapText="1"/>
    </xf>
    <xf numFmtId="0" fontId="9" fillId="0" borderId="0" xfId="0" applyFont="1" applyFill="1"/>
    <xf numFmtId="0" fontId="0" fillId="9" borderId="0" xfId="0" applyFill="1"/>
    <xf numFmtId="22" fontId="0" fillId="9" borderId="0" xfId="0" applyNumberFormat="1" applyFill="1"/>
    <xf numFmtId="0" fontId="22" fillId="10" borderId="0" xfId="0" applyFont="1" applyFill="1"/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C-CE40-8A47-0225661B5511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19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C-CE40-8A47-0225661B5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5649664"/>
        <c:axId val="1805654144"/>
      </c:lineChart>
      <c:dateAx>
        <c:axId val="180564966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05654144"/>
        <c:crosses val="autoZero"/>
        <c:auto val="1"/>
        <c:lblOffset val="100"/>
        <c:baseTimeUnit val="months"/>
      </c:dateAx>
      <c:valAx>
        <c:axId val="180565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564966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06-5945-B855-41DDB4442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4828288"/>
        <c:axId val="1801064384"/>
      </c:barChart>
      <c:dateAx>
        <c:axId val="178482828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01064384"/>
        <c:crosses val="autoZero"/>
        <c:auto val="1"/>
        <c:lblOffset val="100"/>
        <c:baseTimeUnit val="months"/>
      </c:dateAx>
      <c:valAx>
        <c:axId val="180106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82828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296EDCE6-8751-8452-075F-778F4FEAA10B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6D0DA5DA-950B-A728-6786-6EF1F8B7A5F8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89366D52-7081-9075-9D71-F9301D9DEE3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3C0DC77B-4E1D-0D92-5CE7-853AF5BBE60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117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3E647675-F0F8-5EB2-1A26-FB4DED9436D7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1B85A05C-FBA6-E9C2-6787-801FB864148E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CAA195EF-EEA1-7930-0054-77A7708AB5F0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9B8F2844-9057-3440-F0CA-C27E07E6943C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17,9%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4627AE37-93E5-CAC2-1CAB-BA9FB2D22BC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0F1EA922-CA9A-063B-1E66-D0BF8B46826A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9C6066F4-900C-6AD3-9C1A-CBF4EC3701A9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1BBA7213-0654-64D4-7D2E-C31EC0FE405B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3085B451-2A17-0B18-5255-5CE50C35501E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75B56157-8BCB-4AE8-2B14-D5F9521BCAC2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89AD342B-8D03-2CE9-A327-59861D07B2F0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B9C3EFC4-CBA7-2278-310A-E87BA21C9BEA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21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4914A228-33BD-1B48-8C89-C09E53A235B0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9F11D56E-1031-31FC-6849-3BC788D13CE5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611BFF6C-DC24-3F34-C8FB-1234439343BE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44B0158-EE80-7974-BD9B-DA5ED2122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EDAEA6EE-6D3F-32D7-9BB3-DF51D4DB2A53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278947D2-44DC-6CEC-F9D6-54E8659CACBD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56BDF9B0-B5A4-A55C-D98F-42A4BF808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D32BCF23-5093-8410-3EDF-EE9B7D4846DB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6A43B3A4-8B3E-0D2B-C22C-986CA38E204E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41A60EFC-0FFB-5964-8C0F-2D428AF0EC9F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A8744A3F-DDF5-106E-A858-D9B470C598B1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87205482-D2DE-15D8-CAEF-D171F8532DCF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2454B808-5052-F874-2A9D-5692733767CF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56A69020-84A4-ED18-75E3-AE2B55F7406D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DAEF1561-BDC7-876B-1700-FBE6B6E1B22E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FFD2DC4E-17A6-0AC2-B7A1-B74467673F05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3883DCF3-BF20-DD55-98F2-A191664068FD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5EF77C4C-B7EC-95C3-A5E1-4A259973088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11A26764-2E08-EDCA-4362-2B9F9E87B6B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3216CD71-1F96-6E8E-CF8F-331846A14E15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306A97EA-025C-36A4-4B28-CEB7BCDC499D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5B6621FC-ABED-070B-C32E-CF2672E258A2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B3C07FF6-6A6E-BE8A-06E9-09D1F5B15F02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23917FA4-D8DD-D8DB-E136-78CDD650E231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A11DE6DD-E79C-7597-6AC5-EBE773448A5C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561FFD22-195E-2017-1DF5-5F53224CB916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12DD9C5C-A2D6-5099-E81A-BC2D874E1B1B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20324FC8-D08B-CA96-ABDB-FD117804EEE5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D3C5222C-F2F7-B8E5-3FA4-2B55583ED751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07A74213-5912-E88A-BA3B-C22108F65CD4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91A8AEEC-0641-A6BE-9AAD-733449341450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A2B8BB61-6608-E8DA-654E-41159A9C2759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FB53ABDB-D6F8-7A86-C508-4E7378E90088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4493267C-83F9-01DF-8FEF-493CBBFFCB97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F7CB72B8-552D-B6E4-D4B8-E5B0DD2F80DC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0BADDADF-BB70-AC51-2C16-56562876FFE6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0CE52237-D872-4F1C-A303-B3D8027749FA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4DC7B0A-9182-8363-2299-76CC633C3B62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7AC79CCD-0397-93E5-815D-2B58DFDA5A55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B1ED7C60-0785-CF79-CD7C-14C680BC51D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9591F6C1-81A6-9759-CD9D-57D0866E585A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7C369D0C-03DD-EE00-E085-13D08A29F0AA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EFC082CE-7CDB-7771-1342-466124B65A51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EC423B28-181E-72ED-5EC6-AB974201BDF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9E96473F-3C6F-6E8E-1C42-E09D2D418904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ED14514F-98BC-A84E-8180-86143250ECC7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3202" name="Textfeld 3201">
          <a:extLst>
            <a:ext uri="{FF2B5EF4-FFF2-40B4-BE49-F238E27FC236}">
              <a16:creationId xmlns:a16="http://schemas.microsoft.com/office/drawing/2014/main" id="{4866D590-DFE5-8A01-CFCB-CECBE6C75C7B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3203" name="Textfeld 3202">
          <a:extLst>
            <a:ext uri="{FF2B5EF4-FFF2-40B4-BE49-F238E27FC236}">
              <a16:creationId xmlns:a16="http://schemas.microsoft.com/office/drawing/2014/main" id="{BF78E09B-78B0-136C-257A-B4E840B06B72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(11,1%)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204" name="Textfeld 3203">
          <a:extLst>
            <a:ext uri="{FF2B5EF4-FFF2-40B4-BE49-F238E27FC236}">
              <a16:creationId xmlns:a16="http://schemas.microsoft.com/office/drawing/2014/main" id="{529E6AD0-CD4C-FF14-4275-6D77B81559F5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205" name="Textfeld 3204">
          <a:extLst>
            <a:ext uri="{FF2B5EF4-FFF2-40B4-BE49-F238E27FC236}">
              <a16:creationId xmlns:a16="http://schemas.microsoft.com/office/drawing/2014/main" id="{3CF12C43-1979-50BF-E557-4406375355F5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206" name="Abgerundetes Rechteck 3205">
          <a:extLst>
            <a:ext uri="{FF2B5EF4-FFF2-40B4-BE49-F238E27FC236}">
              <a16:creationId xmlns:a16="http://schemas.microsoft.com/office/drawing/2014/main" id="{0AE3059C-B954-4A1D-478B-7D5D8610B21E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207" name="Textfeld 3206">
          <a:extLst>
            <a:ext uri="{FF2B5EF4-FFF2-40B4-BE49-F238E27FC236}">
              <a16:creationId xmlns:a16="http://schemas.microsoft.com/office/drawing/2014/main" id="{A41ABDEA-C53A-03DB-2634-A25FBEB37157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208" name="Textfeld 3207">
          <a:extLst>
            <a:ext uri="{FF2B5EF4-FFF2-40B4-BE49-F238E27FC236}">
              <a16:creationId xmlns:a16="http://schemas.microsoft.com/office/drawing/2014/main" id="{A27BA904-4782-1779-6677-B2A355738FE1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209" name="Textfeld 3208">
          <a:extLst>
            <a:ext uri="{FF2B5EF4-FFF2-40B4-BE49-F238E27FC236}">
              <a16:creationId xmlns:a16="http://schemas.microsoft.com/office/drawing/2014/main" id="{ABB1AD73-4155-80B7-D4E6-16AA0B507C43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210" name="Textfeld 3209">
          <a:extLst>
            <a:ext uri="{FF2B5EF4-FFF2-40B4-BE49-F238E27FC236}">
              <a16:creationId xmlns:a16="http://schemas.microsoft.com/office/drawing/2014/main" id="{DBF38916-5D75-7FA9-8C59-1A9213383796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211" name="Rechteck 3210">
          <a:extLst>
            <a:ext uri="{FF2B5EF4-FFF2-40B4-BE49-F238E27FC236}">
              <a16:creationId xmlns:a16="http://schemas.microsoft.com/office/drawing/2014/main" id="{38EB03BA-6DC0-D69C-8516-B1FC323A61BC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212" name="Textfeld 3211">
          <a:extLst>
            <a:ext uri="{FF2B5EF4-FFF2-40B4-BE49-F238E27FC236}">
              <a16:creationId xmlns:a16="http://schemas.microsoft.com/office/drawing/2014/main" id="{AC882923-6A63-5458-6423-490DF141A517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213" name="Textfeld 3212">
          <a:extLst>
            <a:ext uri="{FF2B5EF4-FFF2-40B4-BE49-F238E27FC236}">
              <a16:creationId xmlns:a16="http://schemas.microsoft.com/office/drawing/2014/main" id="{B2C0660E-8AD8-14DE-332B-51043CF532AF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214" name="Textfeld 3213">
          <a:extLst>
            <a:ext uri="{FF2B5EF4-FFF2-40B4-BE49-F238E27FC236}">
              <a16:creationId xmlns:a16="http://schemas.microsoft.com/office/drawing/2014/main" id="{9196B45D-A9EB-4B14-68CA-2038089EA8B7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215" name="Textfeld 3214">
          <a:extLst>
            <a:ext uri="{FF2B5EF4-FFF2-40B4-BE49-F238E27FC236}">
              <a16:creationId xmlns:a16="http://schemas.microsoft.com/office/drawing/2014/main" id="{A5A26300-8455-6E43-5554-41BCBC5443E9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216" name="Textfeld 3215">
          <a:extLst>
            <a:ext uri="{FF2B5EF4-FFF2-40B4-BE49-F238E27FC236}">
              <a16:creationId xmlns:a16="http://schemas.microsoft.com/office/drawing/2014/main" id="{3C8A7BE3-50DE-BF7B-03A5-EAB503A547B7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217" name="Textfeld 3216">
          <a:extLst>
            <a:ext uri="{FF2B5EF4-FFF2-40B4-BE49-F238E27FC236}">
              <a16:creationId xmlns:a16="http://schemas.microsoft.com/office/drawing/2014/main" id="{095FDEC7-06F0-539D-C199-87CDE2844A30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3218" name="Textfeld 3217">
          <a:extLst>
            <a:ext uri="{FF2B5EF4-FFF2-40B4-BE49-F238E27FC236}">
              <a16:creationId xmlns:a16="http://schemas.microsoft.com/office/drawing/2014/main" id="{3006D85F-678A-C9F6-CD7B-97A0AA907EA8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3219" name="Textfeld 3218">
          <a:extLst>
            <a:ext uri="{FF2B5EF4-FFF2-40B4-BE49-F238E27FC236}">
              <a16:creationId xmlns:a16="http://schemas.microsoft.com/office/drawing/2014/main" id="{CF5A447B-AE4C-6A85-3F36-74890C2ED5B9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3220" name="Textfeld 3219">
          <a:extLst>
            <a:ext uri="{FF2B5EF4-FFF2-40B4-BE49-F238E27FC236}">
              <a16:creationId xmlns:a16="http://schemas.microsoft.com/office/drawing/2014/main" id="{07774527-6E78-D060-C204-3FB05A4C8E73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3221" name="Textfeld 3220">
          <a:extLst>
            <a:ext uri="{FF2B5EF4-FFF2-40B4-BE49-F238E27FC236}">
              <a16:creationId xmlns:a16="http://schemas.microsoft.com/office/drawing/2014/main" id="{02DD05EC-1AF3-C3ED-3866-0BD67AAF2C4F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3222" name="Textfeld 3221">
          <a:extLst>
            <a:ext uri="{FF2B5EF4-FFF2-40B4-BE49-F238E27FC236}">
              <a16:creationId xmlns:a16="http://schemas.microsoft.com/office/drawing/2014/main" id="{F0C4DF5B-413A-798B-D61E-4269A096918D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3223" name="Textfeld 3222">
          <a:extLst>
            <a:ext uri="{FF2B5EF4-FFF2-40B4-BE49-F238E27FC236}">
              <a16:creationId xmlns:a16="http://schemas.microsoft.com/office/drawing/2014/main" id="{CA0C832C-0468-C372-FF26-DB262E59666F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3224" name="Abgerundetes Rechteck 3223">
          <a:extLst>
            <a:ext uri="{FF2B5EF4-FFF2-40B4-BE49-F238E27FC236}">
              <a16:creationId xmlns:a16="http://schemas.microsoft.com/office/drawing/2014/main" id="{F4FC7E63-7373-F076-8AEF-23244812BD43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3225" name="Textfeld 3224">
          <a:extLst>
            <a:ext uri="{FF2B5EF4-FFF2-40B4-BE49-F238E27FC236}">
              <a16:creationId xmlns:a16="http://schemas.microsoft.com/office/drawing/2014/main" id="{0A18D089-6B7D-423B-29A5-3E118A65E111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3226" name="Textfeld 3225">
          <a:extLst>
            <a:ext uri="{FF2B5EF4-FFF2-40B4-BE49-F238E27FC236}">
              <a16:creationId xmlns:a16="http://schemas.microsoft.com/office/drawing/2014/main" id="{2347D243-6017-D681-9802-8C7AC4F34D1D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227" name="Textfeld 3226">
          <a:extLst>
            <a:ext uri="{FF2B5EF4-FFF2-40B4-BE49-F238E27FC236}">
              <a16:creationId xmlns:a16="http://schemas.microsoft.com/office/drawing/2014/main" id="{AAD2E8EA-6066-8026-C930-95E07E50D045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228" name="Textfeld 3227">
          <a:extLst>
            <a:ext uri="{FF2B5EF4-FFF2-40B4-BE49-F238E27FC236}">
              <a16:creationId xmlns:a16="http://schemas.microsoft.com/office/drawing/2014/main" id="{542B4F9F-7D4E-141E-D24E-3A0682A23175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229" name="Textfeld 3228">
          <a:extLst>
            <a:ext uri="{FF2B5EF4-FFF2-40B4-BE49-F238E27FC236}">
              <a16:creationId xmlns:a16="http://schemas.microsoft.com/office/drawing/2014/main" id="{D951EE00-974D-83E4-1C30-1C96A97C2D09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230" name="Textfeld 3229">
          <a:extLst>
            <a:ext uri="{FF2B5EF4-FFF2-40B4-BE49-F238E27FC236}">
              <a16:creationId xmlns:a16="http://schemas.microsoft.com/office/drawing/2014/main" id="{D924300A-E9A6-37F5-E98E-F4B3F8A233EF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231" name="Rechteck 3230">
          <a:extLst>
            <a:ext uri="{FF2B5EF4-FFF2-40B4-BE49-F238E27FC236}">
              <a16:creationId xmlns:a16="http://schemas.microsoft.com/office/drawing/2014/main" id="{74389FFC-60AD-45B4-6F6A-AD888EE87F03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232" name="Textfeld 3231">
          <a:extLst>
            <a:ext uri="{FF2B5EF4-FFF2-40B4-BE49-F238E27FC236}">
              <a16:creationId xmlns:a16="http://schemas.microsoft.com/office/drawing/2014/main" id="{05A29B9D-D500-DDEF-CD7D-9A30C3312535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233" name="Textfeld 3232">
          <a:extLst>
            <a:ext uri="{FF2B5EF4-FFF2-40B4-BE49-F238E27FC236}">
              <a16:creationId xmlns:a16="http://schemas.microsoft.com/office/drawing/2014/main" id="{073289D1-C775-4A14-3094-841589A2722A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234" name="Textfeld 3233">
          <a:extLst>
            <a:ext uri="{FF2B5EF4-FFF2-40B4-BE49-F238E27FC236}">
              <a16:creationId xmlns:a16="http://schemas.microsoft.com/office/drawing/2014/main" id="{C1362F08-6CB3-2F80-7CFD-1BF85CB45E46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235" name="Textfeld 3234">
          <a:extLst>
            <a:ext uri="{FF2B5EF4-FFF2-40B4-BE49-F238E27FC236}">
              <a16:creationId xmlns:a16="http://schemas.microsoft.com/office/drawing/2014/main" id="{471ACA72-BBBB-AD31-991D-8427B848E2B0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236" name="Textfeld 3235">
          <a:extLst>
            <a:ext uri="{FF2B5EF4-FFF2-40B4-BE49-F238E27FC236}">
              <a16:creationId xmlns:a16="http://schemas.microsoft.com/office/drawing/2014/main" id="{128AFA11-EE00-CB5B-055E-FA387C2E01DB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237" name="Textfeld 3236">
          <a:extLst>
            <a:ext uri="{FF2B5EF4-FFF2-40B4-BE49-F238E27FC236}">
              <a16:creationId xmlns:a16="http://schemas.microsoft.com/office/drawing/2014/main" id="{F833BAA0-520F-2C8B-FAFC-F91DB1F3F43D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238" name="Textfeld 3237">
          <a:extLst>
            <a:ext uri="{FF2B5EF4-FFF2-40B4-BE49-F238E27FC236}">
              <a16:creationId xmlns:a16="http://schemas.microsoft.com/office/drawing/2014/main" id="{D4329CE4-BE54-88BE-D0B7-409BA112684E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239" name="Textfeld 3238">
          <a:extLst>
            <a:ext uri="{FF2B5EF4-FFF2-40B4-BE49-F238E27FC236}">
              <a16:creationId xmlns:a16="http://schemas.microsoft.com/office/drawing/2014/main" id="{A1B4DAB0-7817-3045-3985-360AA88C053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240" name="Textfeld 3239">
          <a:extLst>
            <a:ext uri="{FF2B5EF4-FFF2-40B4-BE49-F238E27FC236}">
              <a16:creationId xmlns:a16="http://schemas.microsoft.com/office/drawing/2014/main" id="{25DD6909-C1F8-332E-56DA-5A1610C41DBC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241" name="Textfeld 3240">
          <a:extLst>
            <a:ext uri="{FF2B5EF4-FFF2-40B4-BE49-F238E27FC236}">
              <a16:creationId xmlns:a16="http://schemas.microsoft.com/office/drawing/2014/main" id="{0AC57CF8-3DC6-FE78-9D07-502DC5EBEAF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11,1%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242" name="Abgerundetes Rechteck 3241">
          <a:extLst>
            <a:ext uri="{FF2B5EF4-FFF2-40B4-BE49-F238E27FC236}">
              <a16:creationId xmlns:a16="http://schemas.microsoft.com/office/drawing/2014/main" id="{67B8375D-0A19-3355-40D6-B5895512A3A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243" name="Textfeld 3242">
          <a:extLst>
            <a:ext uri="{FF2B5EF4-FFF2-40B4-BE49-F238E27FC236}">
              <a16:creationId xmlns:a16="http://schemas.microsoft.com/office/drawing/2014/main" id="{7778F010-F26B-3356-199F-E6336B2B983C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244" name="Textfeld 3243">
          <a:extLst>
            <a:ext uri="{FF2B5EF4-FFF2-40B4-BE49-F238E27FC236}">
              <a16:creationId xmlns:a16="http://schemas.microsoft.com/office/drawing/2014/main" id="{DE67E8CB-9222-A43B-62C7-E5DEF6BF3E2E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245" name="Textfeld 3244">
          <a:extLst>
            <a:ext uri="{FF2B5EF4-FFF2-40B4-BE49-F238E27FC236}">
              <a16:creationId xmlns:a16="http://schemas.microsoft.com/office/drawing/2014/main" id="{DADA962F-9FD3-4E66-AFA8-E0F9023F805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246" name="Textfeld 3245">
          <a:extLst>
            <a:ext uri="{FF2B5EF4-FFF2-40B4-BE49-F238E27FC236}">
              <a16:creationId xmlns:a16="http://schemas.microsoft.com/office/drawing/2014/main" id="{399111C4-62CD-E457-BE43-4B7B97A5C70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247" name="Rechteck 3246">
          <a:extLst>
            <a:ext uri="{FF2B5EF4-FFF2-40B4-BE49-F238E27FC236}">
              <a16:creationId xmlns:a16="http://schemas.microsoft.com/office/drawing/2014/main" id="{FD73DD57-275B-4D3A-1472-685C1412001A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248" name="Textfeld 3247">
          <a:extLst>
            <a:ext uri="{FF2B5EF4-FFF2-40B4-BE49-F238E27FC236}">
              <a16:creationId xmlns:a16="http://schemas.microsoft.com/office/drawing/2014/main" id="{92B72946-CCBB-2BF6-5D12-5E9F65F418A4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249" name="Textfeld 3248">
          <a:extLst>
            <a:ext uri="{FF2B5EF4-FFF2-40B4-BE49-F238E27FC236}">
              <a16:creationId xmlns:a16="http://schemas.microsoft.com/office/drawing/2014/main" id="{307F55AC-38DF-5E83-ACBC-9A639C5390FD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250" name="Textfeld 3249">
          <a:extLst>
            <a:ext uri="{FF2B5EF4-FFF2-40B4-BE49-F238E27FC236}">
              <a16:creationId xmlns:a16="http://schemas.microsoft.com/office/drawing/2014/main" id="{D6C3A496-3DE6-702E-8594-6AB6BD294744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5,1%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251" name="Textfeld 3250">
          <a:extLst>
            <a:ext uri="{FF2B5EF4-FFF2-40B4-BE49-F238E27FC236}">
              <a16:creationId xmlns:a16="http://schemas.microsoft.com/office/drawing/2014/main" id="{F11CD6CC-5CB6-9F69-46D3-7395077A5145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252" name="Textfeld 3251">
          <a:extLst>
            <a:ext uri="{FF2B5EF4-FFF2-40B4-BE49-F238E27FC236}">
              <a16:creationId xmlns:a16="http://schemas.microsoft.com/office/drawing/2014/main" id="{9E2265E3-3115-7A73-8EDB-656402EBA23D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253" name="Textfeld 3252">
          <a:extLst>
            <a:ext uri="{FF2B5EF4-FFF2-40B4-BE49-F238E27FC236}">
              <a16:creationId xmlns:a16="http://schemas.microsoft.com/office/drawing/2014/main" id="{3EB64EB5-E466-1AA6-E905-2B890278E7ED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254" name="Textfeld 3253">
          <a:extLst>
            <a:ext uri="{FF2B5EF4-FFF2-40B4-BE49-F238E27FC236}">
              <a16:creationId xmlns:a16="http://schemas.microsoft.com/office/drawing/2014/main" id="{4927EA1C-9994-E5B7-6D36-35BBA5BFA7C1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255" name="Textfeld 3254">
          <a:extLst>
            <a:ext uri="{FF2B5EF4-FFF2-40B4-BE49-F238E27FC236}">
              <a16:creationId xmlns:a16="http://schemas.microsoft.com/office/drawing/2014/main" id="{25403609-3F23-2904-5BBF-40D1A8EB37D4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256" name="Textfeld 3255">
          <a:extLst>
            <a:ext uri="{FF2B5EF4-FFF2-40B4-BE49-F238E27FC236}">
              <a16:creationId xmlns:a16="http://schemas.microsoft.com/office/drawing/2014/main" id="{E2C4DFEE-E647-6F28-A60A-93AA4F043250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3,4%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257" name="Textfeld 3256">
          <a:extLst>
            <a:ext uri="{FF2B5EF4-FFF2-40B4-BE49-F238E27FC236}">
              <a16:creationId xmlns:a16="http://schemas.microsoft.com/office/drawing/2014/main" id="{393376A4-017A-3753-65C9-04A1399C002A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258" name="Textfeld 3257">
          <a:extLst>
            <a:ext uri="{FF2B5EF4-FFF2-40B4-BE49-F238E27FC236}">
              <a16:creationId xmlns:a16="http://schemas.microsoft.com/office/drawing/2014/main" id="{CF1CA59B-355D-B7EC-2CD4-FF99DFD8177C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259" name="Textfeld 3258">
          <a:extLst>
            <a:ext uri="{FF2B5EF4-FFF2-40B4-BE49-F238E27FC236}">
              <a16:creationId xmlns:a16="http://schemas.microsoft.com/office/drawing/2014/main" id="{C05D7C0E-C0D0-8CB4-4F64-48732AE7BCC2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6,0%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260" name="Textfeld 3259">
          <a:extLst>
            <a:ext uri="{FF2B5EF4-FFF2-40B4-BE49-F238E27FC236}">
              <a16:creationId xmlns:a16="http://schemas.microsoft.com/office/drawing/2014/main" id="{724982A0-53A6-000C-E279-CC3DF3988589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261" name="Textfeld 3260">
          <a:extLst>
            <a:ext uri="{FF2B5EF4-FFF2-40B4-BE49-F238E27FC236}">
              <a16:creationId xmlns:a16="http://schemas.microsoft.com/office/drawing/2014/main" id="{8D155B83-7E96-36F6-599C-F19A13A43FB8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262" name="Textfeld 3261">
          <a:extLst>
            <a:ext uri="{FF2B5EF4-FFF2-40B4-BE49-F238E27FC236}">
              <a16:creationId xmlns:a16="http://schemas.microsoft.com/office/drawing/2014/main" id="{8F418739-03A1-FA38-ABFF-E0D8480309C0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263" name="Textfeld 3262">
          <a:extLst>
            <a:ext uri="{FF2B5EF4-FFF2-40B4-BE49-F238E27FC236}">
              <a16:creationId xmlns:a16="http://schemas.microsoft.com/office/drawing/2014/main" id="{A90E43ED-EA3A-A6BB-2274-A4588086B616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72" name="Textfeld 3071">
          <a:extLst>
            <a:ext uri="{FF2B5EF4-FFF2-40B4-BE49-F238E27FC236}">
              <a16:creationId xmlns:a16="http://schemas.microsoft.com/office/drawing/2014/main" id="{C2B597F3-1D19-934C-F0CA-26C9D2484F60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73" name="Textfeld 3072">
          <a:extLst>
            <a:ext uri="{FF2B5EF4-FFF2-40B4-BE49-F238E27FC236}">
              <a16:creationId xmlns:a16="http://schemas.microsoft.com/office/drawing/2014/main" id="{EBCC4D56-0DB6-FBB6-B581-41E899FC4B89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82,1%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264" name="Textfeld 3263">
          <a:extLst>
            <a:ext uri="{FF2B5EF4-FFF2-40B4-BE49-F238E27FC236}">
              <a16:creationId xmlns:a16="http://schemas.microsoft.com/office/drawing/2014/main" id="{F299741C-257C-8FB1-7F96-12FF65AE74D6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265" name="Textfeld 3264">
          <a:extLst>
            <a:ext uri="{FF2B5EF4-FFF2-40B4-BE49-F238E27FC236}">
              <a16:creationId xmlns:a16="http://schemas.microsoft.com/office/drawing/2014/main" id="{3CECA602-3272-29B3-DDC1-8D43D42D4D41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117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55" totalsRowShown="0" headerRowDxfId="25" dataDxfId="24" tableBorderDxfId="23">
  <autoFilter ref="A4:T155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0">
      <calculatedColumnFormula>WENNFEHLER(SVERWEIS(Kundenliste[[#This Row],[PLZ]];PLZ[];2;0);"")</calculatedColumnFormula>
    </tableColumn>
    <tableColumn id="8" xr3:uid="{E7760CB8-FFA4-BD40-A1E5-FA188F8E5F8F}" name="Telefonnummer" dataDxfId="16"/>
    <tableColumn id="9" xr3:uid="{9FCAE85B-421F-BD43-AC3E-F3237B5E7636}" name="PG" dataDxfId="15"/>
    <tableColumn id="10" xr3:uid="{8F6A6D8A-D9F8-0744-BAE9-1D603436C155}" name="Letzter Kontakt" dataDxfId="14"/>
    <tableColumn id="11" xr3:uid="{A2045C30-1195-C943-9842-F1EEA9F34438}" name="Nächster Kontakt" dataDxfId="13"/>
    <tableColumn id="12" xr3:uid="{BE31FF99-12EB-6340-9156-6D94B1B7BE94}" name="Notizen" dataDxfId="12"/>
    <tableColumn id="13" xr3:uid="{FFBFAA09-C96E-314F-A5B9-FE2BD7219F4A}" name="Abschluss" dataDxfId="11"/>
    <tableColumn id="14" xr3:uid="{B9F9ADBB-B5B1-B647-8307-75AE3D1353A4}" name="Abgesprungen nach" dataDxfId="10"/>
    <tableColumn id="15" xr3:uid="{90B24919-0D98-3647-ABDB-A0B14C181ED5}" name="Grund zum Absprung" dataDxfId="9"/>
    <tableColumn id="16" xr3:uid="{267654FA-B2E0-734B-AB97-DD03C87654F6}" name="Learning" dataDxfId="8"/>
    <tableColumn id="17" xr3:uid="{A70C44F0-D6C5-6344-A9CF-C1E02B1DFE3D}" name="Reklamierung Verbund:" dataDxfId="7"/>
    <tableColumn id="18" xr3:uid="{824EBA94-D625-2D4A-B97B-11B1F32437CE}" name="Spend" dataDxfId="6"/>
    <tableColumn id="19" xr3:uid="{A4FDE41C-A509-264E-A5C5-C323A23EE97A}" name="Leadtyp" dataDxfId="5"/>
    <tableColumn id="20" xr3:uid="{2C95D6EB-A8E2-184E-8C6D-F57B552CE877}" name="ID" dataDxfId="4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3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2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1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15"/>
  <sheetViews>
    <sheetView showGridLines="0" tabSelected="1" zoomScale="120" zoomScaleNormal="120" workbookViewId="0">
      <pane xSplit="4" ySplit="4" topLeftCell="E130" activePane="bottomRight" state="frozen"/>
      <selection pane="topRight" activeCell="E1" sqref="E1"/>
      <selection pane="bottomLeft" activeCell="A2" sqref="A2"/>
      <selection pane="bottomRight" activeCell="C132" sqref="C132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1">
        <v>46070.4375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4" t="s">
        <v>5</v>
      </c>
      <c r="G4" s="54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tr">
        <f>WENNFEHLER(SVERWEIS(Kundenliste[[#This Row],[PLZ]];PLZ[];2;0);"")</f>
        <v/>
      </c>
      <c r="H5" s="32" t="s">
        <v>214</v>
      </c>
      <c r="I5" s="57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tr">
        <f>WENNFEHLER(SVERWEIS(Kundenliste[[#This Row],[PLZ]];PLZ[];2;0);"")</f>
        <v>Bruck/Oberbayern</v>
      </c>
      <c r="H6" s="28" t="s">
        <v>47</v>
      </c>
      <c r="I6" s="59">
        <v>3</v>
      </c>
      <c r="J6" s="63">
        <v>46024</v>
      </c>
      <c r="K6" s="36"/>
      <c r="L6" s="65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tr">
        <f>WENNFEHLER(SVERWEIS(Kundenliste[[#This Row],[PLZ]];PLZ[];2;0);"")</f>
        <v>Erding</v>
      </c>
      <c r="H7" s="28" t="s">
        <v>58</v>
      </c>
      <c r="I7" s="57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tr">
        <f>WENNFEHLER(SVERWEIS(Kundenliste[[#This Row],[PLZ]];PLZ[];2;0);"")</f>
        <v>Hallbergmoos</v>
      </c>
      <c r="H8" s="28" t="s">
        <v>162</v>
      </c>
      <c r="I8" s="57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tr">
        <f>WENNFEHLER(SVERWEIS(Kundenliste[[#This Row],[PLZ]];PLZ[];2;0);"")</f>
        <v>Landshut</v>
      </c>
      <c r="H9" s="28" t="s">
        <v>26</v>
      </c>
      <c r="I9" s="57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tr">
        <f>WENNFEHLER(SVERWEIS(Kundenliste[[#This Row],[PLZ]];PLZ[];2;0);"")</f>
        <v>Eching/Niederbayern</v>
      </c>
      <c r="H10" s="28" t="s">
        <v>97</v>
      </c>
      <c r="I10" s="59">
        <v>2</v>
      </c>
      <c r="J10" s="63">
        <v>46031</v>
      </c>
      <c r="K10" s="64"/>
      <c r="L10" s="65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tr">
        <f>WENNFEHLER(SVERWEIS(Kundenliste[[#This Row],[PLZ]];PLZ[];2;0);"")</f>
        <v>München</v>
      </c>
      <c r="H11" s="28" t="s">
        <v>125</v>
      </c>
      <c r="I11" s="57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tr">
        <f>WENNFEHLER(SVERWEIS(Kundenliste[[#This Row],[PLZ]];PLZ[];2;0);"")</f>
        <v>Wartenberg/Oberbayern</v>
      </c>
      <c r="H12" s="28" t="s">
        <v>206</v>
      </c>
      <c r="I12" s="57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tr">
        <f>WENNFEHLER(SVERWEIS(Kundenliste[[#This Row],[PLZ]];PLZ[];2;0);"")</f>
        <v>Pliening</v>
      </c>
      <c r="H13" s="28" t="s">
        <v>114</v>
      </c>
      <c r="I13" s="57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tr">
        <f>WENNFEHLER(SVERWEIS(Kundenliste[[#This Row],[PLZ]];PLZ[];2;0);"")</f>
        <v>Erding</v>
      </c>
      <c r="H14" s="28" t="s">
        <v>150</v>
      </c>
      <c r="I14" s="57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tr">
        <f>WENNFEHLER(SVERWEIS(Kundenliste[[#This Row],[PLZ]];PLZ[];2;0);"")</f>
        <v>Hohenbrunn</v>
      </c>
      <c r="H15" s="28" t="s">
        <v>73</v>
      </c>
      <c r="I15" s="57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tr">
        <f>WENNFEHLER(SVERWEIS(Kundenliste[[#This Row],[PLZ]];PLZ[];2;0);"")</f>
        <v>Landshut</v>
      </c>
      <c r="H16" s="28" t="s">
        <v>154</v>
      </c>
      <c r="I16" s="57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tr">
        <f>WENNFEHLER(SVERWEIS(Kundenliste[[#This Row],[PLZ]];PLZ[];2;0);"")</f>
        <v>Poing</v>
      </c>
      <c r="H17" s="28" t="s">
        <v>39</v>
      </c>
      <c r="I17" s="57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tr">
        <f>WENNFEHLER(SVERWEIS(Kundenliste[[#This Row],[PLZ]];PLZ[];2;0);"")</f>
        <v>Neufahrn b. Freising</v>
      </c>
      <c r="H18" s="28" t="s">
        <v>143</v>
      </c>
      <c r="I18" s="57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tr">
        <f>WENNFEHLER(SVERWEIS(Kundenliste[[#This Row],[PLZ]];PLZ[];2;0);"")</f>
        <v>München</v>
      </c>
      <c r="H19" s="28" t="s">
        <v>173</v>
      </c>
      <c r="I19" s="57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tr">
        <f>WENNFEHLER(SVERWEIS(Kundenliste[[#This Row],[PLZ]];PLZ[];2;0);"")</f>
        <v/>
      </c>
      <c r="H20" s="28"/>
      <c r="I20" s="57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tr">
        <f>WENNFEHLER(SVERWEIS(Kundenliste[[#This Row],[PLZ]];PLZ[];2;0);"")</f>
        <v>Landshut</v>
      </c>
      <c r="H21" s="28" t="s">
        <v>141</v>
      </c>
      <c r="I21" s="57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tr">
        <f>WENNFEHLER(SVERWEIS(Kundenliste[[#This Row],[PLZ]];PLZ[];2;0);"")</f>
        <v>Unterhaching</v>
      </c>
      <c r="H22" s="28" t="s">
        <v>147</v>
      </c>
      <c r="I22" s="57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tr">
        <f>WENNFEHLER(SVERWEIS(Kundenliste[[#This Row],[PLZ]];PLZ[];2;0);"")</f>
        <v>Wang</v>
      </c>
      <c r="H23" s="28" t="s">
        <v>167</v>
      </c>
      <c r="I23" s="57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tr">
        <f>WENNFEHLER(SVERWEIS(Kundenliste[[#This Row],[PLZ]];PLZ[];2;0);"")</f>
        <v>Wang</v>
      </c>
      <c r="H24" s="28" t="s">
        <v>167</v>
      </c>
      <c r="I24" s="57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tr">
        <f>WENNFEHLER(SVERWEIS(Kundenliste[[#This Row],[PLZ]];PLZ[];2;0);"")</f>
        <v>Hallbergmoos</v>
      </c>
      <c r="H25" s="28" t="s">
        <v>178</v>
      </c>
      <c r="I25" s="59">
        <v>3</v>
      </c>
      <c r="J25" s="63">
        <v>46031</v>
      </c>
      <c r="K25" s="36"/>
      <c r="L25" s="65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tr">
        <f>WENNFEHLER(SVERWEIS(Kundenliste[[#This Row],[PLZ]];PLZ[];2;0);"")</f>
        <v>Landshut</v>
      </c>
      <c r="H26" s="28" t="s">
        <v>204</v>
      </c>
      <c r="I26" s="57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tr">
        <f>WENNFEHLER(SVERWEIS(Kundenliste[[#This Row],[PLZ]];PLZ[];2;0);"")</f>
        <v>München</v>
      </c>
      <c r="H27" s="28" t="s">
        <v>222</v>
      </c>
      <c r="I27" s="57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tr">
        <f>WENNFEHLER(SVERWEIS(Kundenliste[[#This Row],[PLZ]];PLZ[];2;0);"")</f>
        <v>Poing</v>
      </c>
      <c r="H28" s="28" t="s">
        <v>102</v>
      </c>
      <c r="I28" s="57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tr">
        <f>WENNFEHLER(SVERWEIS(Kundenliste[[#This Row],[PLZ]];PLZ[];2;0);"")</f>
        <v>München</v>
      </c>
      <c r="H29" s="26" t="s">
        <v>156</v>
      </c>
      <c r="I29" s="57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tr">
        <f>WENNFEHLER(SVERWEIS(Kundenliste[[#This Row],[PLZ]];PLZ[];2;0);"")</f>
        <v>Vaterstetten</v>
      </c>
      <c r="H30" s="28" t="s">
        <v>164</v>
      </c>
      <c r="I30" s="57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tr">
        <f>WENNFEHLER(SVERWEIS(Kundenliste[[#This Row],[PLZ]];PLZ[];2;0);"")</f>
        <v>Landshut</v>
      </c>
      <c r="H31" s="28" t="s">
        <v>7140</v>
      </c>
      <c r="I31" s="57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tr">
        <f>WENNFEHLER(SVERWEIS(Kundenliste[[#This Row],[PLZ]];PLZ[];2;0);"")</f>
        <v>München</v>
      </c>
      <c r="H32" s="28" t="s">
        <v>219</v>
      </c>
      <c r="I32" s="57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tr">
        <f>WENNFEHLER(SVERWEIS(Kundenliste[[#This Row],[PLZ]];PLZ[];2;0);"")</f>
        <v>Freising</v>
      </c>
      <c r="H33" s="28" t="s">
        <v>34</v>
      </c>
      <c r="I33" s="59">
        <v>1</v>
      </c>
      <c r="J33" s="63">
        <v>46037</v>
      </c>
      <c r="K33" s="36" t="s">
        <v>35</v>
      </c>
      <c r="L33" s="65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tr">
        <f>WENNFEHLER(SVERWEIS(Kundenliste[[#This Row],[PLZ]];PLZ[];2;0);"")</f>
        <v>Freising</v>
      </c>
      <c r="H34" s="28" t="s">
        <v>65</v>
      </c>
      <c r="I34" s="57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tr">
        <f>WENNFEHLER(SVERWEIS(Kundenliste[[#This Row],[PLZ]];PLZ[];2;0);"")</f>
        <v>Garching b. München</v>
      </c>
      <c r="H35" s="28" t="s">
        <v>68</v>
      </c>
      <c r="I35" s="57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tr">
        <f>WENNFEHLER(SVERWEIS(Kundenliste[[#This Row],[PLZ]];PLZ[];2;0);"")</f>
        <v>Unterföhring</v>
      </c>
      <c r="H36" s="28" t="s">
        <v>118</v>
      </c>
      <c r="I36" s="57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tr">
        <f>WENNFEHLER(SVERWEIS(Kundenliste[[#This Row],[PLZ]];PLZ[];2;0);"")</f>
        <v>Landshut</v>
      </c>
      <c r="H37" s="28" t="s">
        <v>217</v>
      </c>
      <c r="I37" s="57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tr">
        <f>WENNFEHLER(SVERWEIS(Kundenliste[[#This Row],[PLZ]];PLZ[];2;0);"")</f>
        <v>Hohenbrunn</v>
      </c>
      <c r="H38" s="28" t="s">
        <v>92</v>
      </c>
      <c r="I38" s="57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tr">
        <f>WENNFEHLER(SVERWEIS(Kundenliste[[#This Row],[PLZ]];PLZ[];2;0);"")</f>
        <v>Pliening</v>
      </c>
      <c r="H39" s="28" t="s">
        <v>209</v>
      </c>
      <c r="I39" s="57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tr">
        <f>WENNFEHLER(SVERWEIS(Kundenliste[[#This Row],[PLZ]];PLZ[];2;0);"")</f>
        <v>Ebersberg</v>
      </c>
      <c r="H40" s="28" t="s">
        <v>137</v>
      </c>
      <c r="I40" s="57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tr">
        <f>WENNFEHLER(SVERWEIS(Kundenliste[[#This Row],[PLZ]];PLZ[];2;0);"")</f>
        <v>München</v>
      </c>
      <c r="H41" s="28" t="s">
        <v>175</v>
      </c>
      <c r="I41" s="57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tr">
        <f>WENNFEHLER(SVERWEIS(Kundenliste[[#This Row],[PLZ]];PLZ[];2;0);"")</f>
        <v>München</v>
      </c>
      <c r="H42" s="28" t="s">
        <v>189</v>
      </c>
      <c r="I42" s="57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tr">
        <f>WENNFEHLER(SVERWEIS(Kundenliste[[#This Row],[PLZ]];PLZ[];2;0);"")</f>
        <v>Landshut</v>
      </c>
      <c r="H43" s="28" t="s">
        <v>121</v>
      </c>
      <c r="I43" s="57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tr">
        <f>WENNFEHLER(SVERWEIS(Kundenliste[[#This Row],[PLZ]];PLZ[];2;0);"")</f>
        <v>Taufkirchen/Vils</v>
      </c>
      <c r="H44" s="28" t="s">
        <v>129</v>
      </c>
      <c r="I44" s="57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tr">
        <f>WENNFEHLER(SVERWEIS(Kundenliste[[#This Row],[PLZ]];PLZ[];2;0);"")</f>
        <v>Taufkirchen/Vils</v>
      </c>
      <c r="H45" s="28" t="s">
        <v>132</v>
      </c>
      <c r="I45" s="57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tr">
        <f>WENNFEHLER(SVERWEIS(Kundenliste[[#This Row],[PLZ]];PLZ[];2;0);"")</f>
        <v>Freising</v>
      </c>
      <c r="H46" s="28" t="s">
        <v>159</v>
      </c>
      <c r="I46" s="57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tr">
        <f>WENNFEHLER(SVERWEIS(Kundenliste[[#This Row],[PLZ]];PLZ[];2;0);"")</f>
        <v>Buch a. Erlbach</v>
      </c>
      <c r="H47" s="28" t="s">
        <v>197</v>
      </c>
      <c r="I47" s="57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tr">
        <f>WENNFEHLER(SVERWEIS(Kundenliste[[#This Row],[PLZ]];PLZ[];2;0);"")</f>
        <v>Bruck/Oberbayern</v>
      </c>
      <c r="H48" s="28" t="s">
        <v>127</v>
      </c>
      <c r="I48" s="57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tr">
        <f>WENNFEHLER(SVERWEIS(Kundenliste[[#This Row],[PLZ]];PLZ[];2;0);"")</f>
        <v>Landshut</v>
      </c>
      <c r="H49" s="28" t="s">
        <v>182</v>
      </c>
      <c r="I49" s="57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tr">
        <f>WENNFEHLER(SVERWEIS(Kundenliste[[#This Row],[PLZ]];PLZ[];2;0);"")</f>
        <v>Ebersberg</v>
      </c>
      <c r="H50" s="28" t="s">
        <v>186</v>
      </c>
      <c r="I50" s="57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tr">
        <f>WENNFEHLER(SVERWEIS(Kundenliste[[#This Row],[PLZ]];PLZ[];2;0);"")</f>
        <v>Baiern</v>
      </c>
      <c r="H51" s="28" t="s">
        <v>201</v>
      </c>
      <c r="I51" s="57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tr">
        <f>WENNFEHLER(SVERWEIS(Kundenliste[[#This Row],[PLZ]];PLZ[];2;0);"")</f>
        <v>Nandlstadt</v>
      </c>
      <c r="H52" s="28" t="s">
        <v>76</v>
      </c>
      <c r="I52" s="57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tr">
        <f>WENNFEHLER(SVERWEIS(Kundenliste[[#This Row],[PLZ]];PLZ[];2;0);"")</f>
        <v>Nandlstadt</v>
      </c>
      <c r="H53" s="28" t="s">
        <v>82</v>
      </c>
      <c r="I53" s="57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tr">
        <f>WENNFEHLER(SVERWEIS(Kundenliste[[#This Row],[PLZ]];PLZ[];2;0);"")</f>
        <v>Dorfen</v>
      </c>
      <c r="H54" s="28" t="s">
        <v>85</v>
      </c>
      <c r="I54" s="57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tr">
        <f>WENNFEHLER(SVERWEIS(Kundenliste[[#This Row],[PLZ]];PLZ[];2;0);"")</f>
        <v>Dorfen</v>
      </c>
      <c r="H55" s="26" t="s">
        <v>85</v>
      </c>
      <c r="I55" s="57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tr">
        <f>WENNFEHLER(SVERWEIS(Kundenliste[[#This Row],[PLZ]];PLZ[];2;0);"")</f>
        <v>Freising</v>
      </c>
      <c r="H56" s="28" t="s">
        <v>44</v>
      </c>
      <c r="I56" s="57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tr">
        <f>WENNFEHLER(SVERWEIS(Kundenliste[[#This Row],[PLZ]];PLZ[];2;0);"")</f>
        <v>Wang</v>
      </c>
      <c r="H57" s="28" t="s">
        <v>78</v>
      </c>
      <c r="I57" s="57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tr">
        <f>WENNFEHLER(SVERWEIS(Kundenliste[[#This Row],[PLZ]];PLZ[];2;0);"")</f>
        <v>Oberpframmern</v>
      </c>
      <c r="H58" s="32" t="s">
        <v>80</v>
      </c>
      <c r="I58" s="57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tr">
        <f>WENNFEHLER(SVERWEIS(Kundenliste[[#This Row],[PLZ]];PLZ[];2;0);"")</f>
        <v>Neufahrn b. Freising</v>
      </c>
      <c r="H59" s="28" t="s">
        <v>194</v>
      </c>
      <c r="I59" s="57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tr">
        <f>WENNFEHLER(SVERWEIS(Kundenliste[[#This Row],[PLZ]];PLZ[];2;0);"")</f>
        <v/>
      </c>
      <c r="H60" s="28" t="s">
        <v>21</v>
      </c>
      <c r="I60" s="57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tr">
        <f>WENNFEHLER(SVERWEIS(Kundenliste[[#This Row],[PLZ]];PLZ[];2;0);"")</f>
        <v>München</v>
      </c>
      <c r="H61" s="28" t="s">
        <v>100</v>
      </c>
      <c r="I61" s="57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tr">
        <f>WENNFEHLER(SVERWEIS(Kundenliste[[#This Row],[PLZ]];PLZ[];2;0);"")</f>
        <v>Geisenhausen</v>
      </c>
      <c r="H62" s="28" t="s">
        <v>51</v>
      </c>
      <c r="I62" s="57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tr">
        <f>WENNFEHLER(SVERWEIS(Kundenliste[[#This Row],[PLZ]];PLZ[];2;0);"")</f>
        <v>Schechen</v>
      </c>
      <c r="H63" s="28" t="s">
        <v>54</v>
      </c>
      <c r="I63" s="59">
        <v>2</v>
      </c>
      <c r="J63" s="63">
        <v>46044</v>
      </c>
      <c r="K63" s="64"/>
      <c r="L63" s="65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tr">
        <f>WENNFEHLER(SVERWEIS(Kundenliste[[#This Row],[PLZ]];PLZ[];2;0);"")</f>
        <v>Hörgertshausen</v>
      </c>
      <c r="H64" s="28" t="s">
        <v>110</v>
      </c>
      <c r="I64" s="57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tr">
        <f>WENNFEHLER(SVERWEIS(Kundenliste[[#This Row],[PLZ]];PLZ[];2;0);"")</f>
        <v/>
      </c>
      <c r="H65" s="28" t="s">
        <v>191</v>
      </c>
      <c r="I65" s="57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tr">
        <f>WENNFEHLER(SVERWEIS(Kundenliste[[#This Row],[PLZ]];PLZ[];2;0);"")</f>
        <v/>
      </c>
      <c r="H66" s="28" t="s">
        <v>199</v>
      </c>
      <c r="I66" s="59">
        <v>1</v>
      </c>
      <c r="J66" s="63">
        <v>46050</v>
      </c>
      <c r="K66" s="64"/>
      <c r="L66" s="65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tr">
        <f>WENNFEHLER(SVERWEIS(Kundenliste[[#This Row],[PLZ]];PLZ[];2;0);"")</f>
        <v>München</v>
      </c>
      <c r="H67" s="28" t="s">
        <v>225</v>
      </c>
      <c r="I67" s="57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tr">
        <f>WENNFEHLER(SVERWEIS(Kundenliste[[#This Row],[PLZ]];PLZ[];2;0);"")</f>
        <v>Landshut</v>
      </c>
      <c r="H68" s="28" t="s">
        <v>7147</v>
      </c>
      <c r="I68" s="57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tr">
        <f>WENNFEHLER(SVERWEIS(Kundenliste[[#This Row],[PLZ]];PLZ[];2;0);"")</f>
        <v>Landshut</v>
      </c>
      <c r="H69" s="28" t="s">
        <v>7148</v>
      </c>
      <c r="I69" s="57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tr">
        <f>WENNFEHLER(SVERWEIS(Kundenliste[[#This Row],[PLZ]];PLZ[];2;0);"")</f>
        <v>München</v>
      </c>
      <c r="H70" s="28" t="s">
        <v>7150</v>
      </c>
      <c r="I70" s="57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tr">
        <f>WENNFEHLER(SVERWEIS(Kundenliste[[#This Row],[PLZ]];PLZ[];2;0);"")</f>
        <v>Landshut</v>
      </c>
      <c r="H71" s="28" t="s">
        <v>7152</v>
      </c>
      <c r="I71" s="57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tr">
        <f>WENNFEHLER(SVERWEIS(Kundenliste[[#This Row],[PLZ]];PLZ[];2;0);"")</f>
        <v/>
      </c>
      <c r="H72" s="28" t="s">
        <v>7155</v>
      </c>
      <c r="I72" s="57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tr">
        <f>WENNFEHLER(SVERWEIS(Kundenliste[[#This Row],[PLZ]];PLZ[];2;0);"")</f>
        <v>München</v>
      </c>
      <c r="H73" s="28" t="s">
        <v>7157</v>
      </c>
      <c r="I73" s="57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tr">
        <f>WENNFEHLER(SVERWEIS(Kundenliste[[#This Row],[PLZ]];PLZ[];2;0);"")</f>
        <v>Hohenbrunn</v>
      </c>
      <c r="H74" s="28" t="s">
        <v>7158</v>
      </c>
      <c r="I74" s="57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tr">
        <f>WENNFEHLER(SVERWEIS(Kundenliste[[#This Row],[PLZ]];PLZ[];2;0);"")</f>
        <v>Schweitenkirchen</v>
      </c>
      <c r="H75" s="28" t="s">
        <v>7159</v>
      </c>
      <c r="I75" s="57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tr">
        <f>WENNFEHLER(SVERWEIS(Kundenliste[[#This Row],[PLZ]];PLZ[];2;0);"")</f>
        <v>München</v>
      </c>
      <c r="H76" s="28" t="s">
        <v>7160</v>
      </c>
      <c r="I76" s="57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tr">
        <f>WENNFEHLER(SVERWEIS(Kundenliste[[#This Row],[PLZ]];PLZ[];2;0);"")</f>
        <v>Zolling</v>
      </c>
      <c r="H77" s="28" t="s">
        <v>7163</v>
      </c>
      <c r="I77" s="57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tr">
        <f>WENNFEHLER(SVERWEIS(Kundenliste[[#This Row],[PLZ]];PLZ[];2;0);"")</f>
        <v>Garching b. München</v>
      </c>
      <c r="H78" s="28" t="s">
        <v>7164</v>
      </c>
      <c r="I78" s="57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tr">
        <f>WENNFEHLER(SVERWEIS(Kundenliste[[#This Row],[PLZ]];PLZ[];2;0);"")</f>
        <v>Freising</v>
      </c>
      <c r="H79" s="28" t="s">
        <v>7166</v>
      </c>
      <c r="I79" s="57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tr">
        <f>WENNFEHLER(SVERWEIS(Kundenliste[[#This Row],[PLZ]];PLZ[];2;0);"")</f>
        <v>Neufahrn b. Freising</v>
      </c>
      <c r="H80" s="28" t="s">
        <v>7168</v>
      </c>
      <c r="I80" s="57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tr">
        <f>WENNFEHLER(SVERWEIS(Kundenliste[[#This Row],[PLZ]];PLZ[];2;0);"")</f>
        <v>Hohenbrunn</v>
      </c>
      <c r="H81" s="28" t="s">
        <v>7158</v>
      </c>
      <c r="I81" s="57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tr">
        <f>WENNFEHLER(SVERWEIS(Kundenliste[[#This Row],[PLZ]];PLZ[];2;0);"")</f>
        <v>Zorneding</v>
      </c>
      <c r="H82" s="28" t="s">
        <v>7169</v>
      </c>
      <c r="I82" s="57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tr">
        <f>WENNFEHLER(SVERWEIS(Kundenliste[[#This Row],[PLZ]];PLZ[];2;0);"")</f>
        <v>München</v>
      </c>
      <c r="H83" s="28" t="s">
        <v>7170</v>
      </c>
      <c r="I83" s="57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tr">
        <f>WENNFEHLER(SVERWEIS(Kundenliste[[#This Row],[PLZ]];PLZ[];2;0);"")</f>
        <v>München</v>
      </c>
      <c r="H84" s="28" t="s">
        <v>7171</v>
      </c>
      <c r="I84" s="57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tr">
        <f>WENNFEHLER(SVERWEIS(Kundenliste[[#This Row],[PLZ]];PLZ[];2;0);"")</f>
        <v>Zolling</v>
      </c>
      <c r="H85" s="28" t="s">
        <v>7173</v>
      </c>
      <c r="I85" s="57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tr">
        <f>WENNFEHLER(SVERWEIS(Kundenliste[[#This Row],[PLZ]];PLZ[];2;0);"")</f>
        <v>Frauenneuharting</v>
      </c>
      <c r="H86" s="28" t="s">
        <v>7174</v>
      </c>
      <c r="I86" s="57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tr">
        <f>WENNFEHLER(SVERWEIS(Kundenliste[[#This Row],[PLZ]];PLZ[];2;0);"")</f>
        <v>Wang</v>
      </c>
      <c r="H87" s="28" t="s">
        <v>7175</v>
      </c>
      <c r="I87" s="57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tr">
        <f>WENNFEHLER(SVERWEIS(Kundenliste[[#This Row],[PLZ]];PLZ[];2;0);"")</f>
        <v>München</v>
      </c>
      <c r="H88" s="28" t="s">
        <v>7176</v>
      </c>
      <c r="I88" s="57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tr">
        <f>WENNFEHLER(SVERWEIS(Kundenliste[[#This Row],[PLZ]];PLZ[];2;0);"")</f>
        <v>München</v>
      </c>
      <c r="H89" s="28" t="s">
        <v>7178</v>
      </c>
      <c r="I89" s="57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tr">
        <f>WENNFEHLER(SVERWEIS(Kundenliste[[#This Row],[PLZ]];PLZ[];2;0);"")</f>
        <v/>
      </c>
      <c r="H90" s="28"/>
      <c r="I90" s="57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tr">
        <f>WENNFEHLER(SVERWEIS(Kundenliste[[#This Row],[PLZ]];PLZ[];2;0);"")</f>
        <v>Landshut</v>
      </c>
      <c r="H91" s="28" t="s">
        <v>7179</v>
      </c>
      <c r="I91" s="57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tr">
        <f>WENNFEHLER(SVERWEIS(Kundenliste[[#This Row],[PLZ]];PLZ[];2;0);"")</f>
        <v>Landshut</v>
      </c>
      <c r="H92" s="28" t="s">
        <v>7180</v>
      </c>
      <c r="I92" s="57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tr">
        <f>WENNFEHLER(SVERWEIS(Kundenliste[[#This Row],[PLZ]];PLZ[];2;0);"")</f>
        <v>Neufahrn b. Freising</v>
      </c>
      <c r="H93" s="28"/>
      <c r="I93" s="57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tr">
        <f>WENNFEHLER(SVERWEIS(Kundenliste[[#This Row],[PLZ]];PLZ[];2;0);"")</f>
        <v>Landshut</v>
      </c>
      <c r="H94" s="28" t="s">
        <v>7182</v>
      </c>
      <c r="I94" s="57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tr">
        <f>WENNFEHLER(SVERWEIS(Kundenliste[[#This Row],[PLZ]];PLZ[];2;0);"")</f>
        <v>Landshut</v>
      </c>
      <c r="H95" s="28" t="s">
        <v>7183</v>
      </c>
      <c r="I95" s="57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tr">
        <f>WENNFEHLER(SVERWEIS(Kundenliste[[#This Row],[PLZ]];PLZ[];2;0);"")</f>
        <v>Geisenhausen</v>
      </c>
      <c r="H96" s="28" t="s">
        <v>7186</v>
      </c>
      <c r="I96" s="57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tr">
        <f>WENNFEHLER(SVERWEIS(Kundenliste[[#This Row],[PLZ]];PLZ[];2;0);"")</f>
        <v>Landshut</v>
      </c>
      <c r="H97" s="28" t="s">
        <v>7188</v>
      </c>
      <c r="I97" s="57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tr">
        <f>WENNFEHLER(SVERWEIS(Kundenliste[[#This Row],[PLZ]];PLZ[];2;0);"")</f>
        <v>München</v>
      </c>
      <c r="H98" s="28" t="s">
        <v>7190</v>
      </c>
      <c r="I98" s="57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tr">
        <f>WENNFEHLER(SVERWEIS(Kundenliste[[#This Row],[PLZ]];PLZ[];2;0);"")</f>
        <v>München</v>
      </c>
      <c r="H99" s="28" t="s">
        <v>7192</v>
      </c>
      <c r="I99" s="57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tr">
        <f>WENNFEHLER(SVERWEIS(Kundenliste[[#This Row],[PLZ]];PLZ[];2;0);"")</f>
        <v>Langenbach Kr. Freising</v>
      </c>
      <c r="H100" s="28" t="s">
        <v>7193</v>
      </c>
      <c r="I100" s="57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tr">
        <f>WENNFEHLER(SVERWEIS(Kundenliste[[#This Row],[PLZ]];PLZ[];2;0);"")</f>
        <v>München</v>
      </c>
      <c r="H101" s="28" t="s">
        <v>7195</v>
      </c>
      <c r="I101" s="57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tr">
        <f>WENNFEHLER(SVERWEIS(Kundenliste[[#This Row],[PLZ]];PLZ[];2;0);"")</f>
        <v>Vaterstetten</v>
      </c>
      <c r="H102" s="28" t="s">
        <v>7197</v>
      </c>
      <c r="I102" s="57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tr">
        <f>WENNFEHLER(SVERWEIS(Kundenliste[[#This Row],[PLZ]];PLZ[];2;0);"")</f>
        <v>Tiefenbach Kr. Landshut</v>
      </c>
      <c r="H103" s="28" t="s">
        <v>7200</v>
      </c>
      <c r="I103" s="57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tr">
        <f>WENNFEHLER(SVERWEIS(Kundenliste[[#This Row],[PLZ]];PLZ[];2;0);"")</f>
        <v>Landshut</v>
      </c>
      <c r="H104" s="28" t="s">
        <v>7203</v>
      </c>
      <c r="I104" s="57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tr">
        <f>WENNFEHLER(SVERWEIS(Kundenliste[[#This Row],[PLZ]];PLZ[];2;0);"")</f>
        <v>Landshut</v>
      </c>
      <c r="H105" s="28" t="s">
        <v>7204</v>
      </c>
      <c r="I105" s="57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tr">
        <f>WENNFEHLER(SVERWEIS(Kundenliste[[#This Row],[PLZ]];PLZ[];2;0);"")</f>
        <v>Landshut</v>
      </c>
      <c r="H106" s="28" t="s">
        <v>7205</v>
      </c>
      <c r="I106" s="57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tr">
        <f>WENNFEHLER(SVERWEIS(Kundenliste[[#This Row],[PLZ]];PLZ[];2;0);"")</f>
        <v/>
      </c>
      <c r="H107" s="28"/>
      <c r="I107" s="57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tr">
        <f>WENNFEHLER(SVERWEIS(Kundenliste[[#This Row],[PLZ]];PLZ[];2;0);"")</f>
        <v>Unterschleißheim</v>
      </c>
      <c r="H108" s="28" t="s">
        <v>7206</v>
      </c>
      <c r="I108" s="57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tr">
        <f>WENNFEHLER(SVERWEIS(Kundenliste[[#This Row],[PLZ]];PLZ[];2;0);"")</f>
        <v>Furth Kr. Landshut</v>
      </c>
      <c r="H109" s="28" t="s">
        <v>7207</v>
      </c>
      <c r="I109" s="57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tr">
        <f>WENNFEHLER(SVERWEIS(Kundenliste[[#This Row],[PLZ]];PLZ[];2;0);"")</f>
        <v>Aßling</v>
      </c>
      <c r="H110" s="28" t="s">
        <v>7208</v>
      </c>
      <c r="I110" s="57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tr">
        <f>WENNFEHLER(SVERWEIS(Kundenliste[[#This Row],[PLZ]];PLZ[];2;0);"")</f>
        <v>Freising</v>
      </c>
      <c r="H111" s="28" t="s">
        <v>7209</v>
      </c>
      <c r="I111" s="57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tr">
        <f>WENNFEHLER(SVERWEIS(Kundenliste[[#This Row],[PLZ]];PLZ[];2;0);"")</f>
        <v/>
      </c>
      <c r="H112" s="28"/>
      <c r="I112" s="57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tr">
        <f>WENNFEHLER(SVERWEIS(Kundenliste[[#This Row],[PLZ]];PLZ[];2;0);"")</f>
        <v>München</v>
      </c>
      <c r="H113" s="28" t="s">
        <v>7210</v>
      </c>
      <c r="I113" s="57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tr">
        <f>WENNFEHLER(SVERWEIS(Kundenliste[[#This Row],[PLZ]];PLZ[];2;0);"")</f>
        <v>Garching b. München</v>
      </c>
      <c r="H114" s="28" t="s">
        <v>7212</v>
      </c>
      <c r="I114" s="57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tr">
        <f>WENNFEHLER(SVERWEIS(Kundenliste[[#This Row],[PLZ]];PLZ[];2;0);"")</f>
        <v>Oberding</v>
      </c>
      <c r="H115" s="28" t="s">
        <v>7213</v>
      </c>
      <c r="I115" s="57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tr">
        <f>WENNFEHLER(SVERWEIS(Kundenliste[[#This Row],[PLZ]];PLZ[];2;0);"")</f>
        <v>Furth Kr. Landshut</v>
      </c>
      <c r="H116" s="28" t="s">
        <v>7214</v>
      </c>
      <c r="I116" s="57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tr">
        <f>WENNFEHLER(SVERWEIS(Kundenliste[[#This Row],[PLZ]];PLZ[];2;0);"")</f>
        <v>Furth Kr. Landshut</v>
      </c>
      <c r="H117" s="28" t="s">
        <v>7215</v>
      </c>
      <c r="I117" s="57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tr">
        <f>WENNFEHLER(SVERWEIS(Kundenliste[[#This Row],[PLZ]];PLZ[];2;0);"")</f>
        <v>Hallbergmoos</v>
      </c>
      <c r="H118" s="28" t="s">
        <v>7216</v>
      </c>
      <c r="I118" s="57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4" x14ac:dyDescent="0.15">
      <c r="A119" s="66">
        <v>46023</v>
      </c>
      <c r="B119" s="67" t="s">
        <v>42</v>
      </c>
      <c r="C119" s="67" t="s">
        <v>7244</v>
      </c>
      <c r="D119" s="68" t="s">
        <v>7245</v>
      </c>
      <c r="E119" s="69"/>
      <c r="F119" s="70">
        <v>80807</v>
      </c>
      <c r="G119" s="71" t="str">
        <f>WENNFEHLER(SVERWEIS(Kundenliste[[#This Row],[PLZ]];PLZ[];2;0);"")</f>
        <v>München</v>
      </c>
      <c r="H119" s="72" t="s">
        <v>7246</v>
      </c>
      <c r="I119" s="73">
        <v>2</v>
      </c>
      <c r="J119" s="74"/>
      <c r="K119" s="74"/>
      <c r="L119" s="75" t="s">
        <v>7338</v>
      </c>
      <c r="M119" s="76"/>
      <c r="N119" s="76"/>
      <c r="O119" s="76"/>
      <c r="P119" s="76"/>
      <c r="Q119" s="76"/>
      <c r="R119" s="76"/>
      <c r="S119" s="76" t="s">
        <v>7240</v>
      </c>
      <c r="T119" s="76" t="s">
        <v>7308</v>
      </c>
    </row>
    <row r="120" spans="1:25" ht="154" x14ac:dyDescent="0.15">
      <c r="A120" s="66">
        <v>46023</v>
      </c>
      <c r="B120" s="67" t="s">
        <v>42</v>
      </c>
      <c r="C120" s="67" t="s">
        <v>7244</v>
      </c>
      <c r="D120" s="68" t="s">
        <v>7247</v>
      </c>
      <c r="E120" s="69"/>
      <c r="F120" s="70">
        <v>84030</v>
      </c>
      <c r="G120" s="71" t="str">
        <f>WENNFEHLER(SVERWEIS(Kundenliste[[#This Row],[PLZ]];PLZ[];2;0);"")</f>
        <v>Landshut</v>
      </c>
      <c r="H120" s="72" t="s">
        <v>7248</v>
      </c>
      <c r="I120" s="73">
        <v>1</v>
      </c>
      <c r="J120" s="74"/>
      <c r="K120" s="74"/>
      <c r="L120" s="75" t="s">
        <v>7339</v>
      </c>
      <c r="M120" s="76"/>
      <c r="N120" s="76"/>
      <c r="O120" s="76"/>
      <c r="P120" s="76"/>
      <c r="Q120" s="76"/>
      <c r="R120" s="76"/>
      <c r="S120" s="76" t="s">
        <v>7240</v>
      </c>
      <c r="T120" s="76" t="s">
        <v>7309</v>
      </c>
    </row>
    <row r="121" spans="1:25" ht="154" x14ac:dyDescent="0.15">
      <c r="A121" s="66">
        <v>46023</v>
      </c>
      <c r="B121" s="67" t="s">
        <v>42</v>
      </c>
      <c r="C121" s="67" t="s">
        <v>7244</v>
      </c>
      <c r="D121" s="68" t="s">
        <v>7249</v>
      </c>
      <c r="E121" s="69"/>
      <c r="F121" s="70">
        <v>85635</v>
      </c>
      <c r="G121" s="71" t="str">
        <f>WENNFEHLER(SVERWEIS(Kundenliste[[#This Row],[PLZ]];PLZ[];2;0);"")</f>
        <v>Höhenkirchen-Siegertsbrunn</v>
      </c>
      <c r="H121" s="72" t="s">
        <v>7250</v>
      </c>
      <c r="I121" s="73">
        <v>1</v>
      </c>
      <c r="J121" s="74"/>
      <c r="K121" s="74"/>
      <c r="L121" s="75" t="s">
        <v>7340</v>
      </c>
      <c r="M121" s="76"/>
      <c r="N121" s="76"/>
      <c r="O121" s="76"/>
      <c r="P121" s="76"/>
      <c r="Q121" s="76"/>
      <c r="R121" s="76"/>
      <c r="S121" s="76" t="s">
        <v>7240</v>
      </c>
      <c r="T121" s="76" t="s">
        <v>7310</v>
      </c>
    </row>
    <row r="122" spans="1:25" ht="154" x14ac:dyDescent="0.15">
      <c r="A122" s="66">
        <v>46023</v>
      </c>
      <c r="B122" s="67" t="s">
        <v>42</v>
      </c>
      <c r="C122" s="67" t="s">
        <v>7244</v>
      </c>
      <c r="D122" s="68" t="s">
        <v>7251</v>
      </c>
      <c r="E122" s="69"/>
      <c r="F122" s="70">
        <v>84416</v>
      </c>
      <c r="G122" s="71" t="str">
        <f>WENNFEHLER(SVERWEIS(Kundenliste[[#This Row],[PLZ]];PLZ[];2;0);"")</f>
        <v>Taufkirchen/Vils</v>
      </c>
      <c r="H122" s="72" t="s">
        <v>7252</v>
      </c>
      <c r="I122" s="73">
        <v>4</v>
      </c>
      <c r="J122" s="74"/>
      <c r="K122" s="74"/>
      <c r="L122" s="75" t="s">
        <v>7341</v>
      </c>
      <c r="M122" s="76"/>
      <c r="N122" s="76"/>
      <c r="O122" s="76"/>
      <c r="P122" s="76"/>
      <c r="Q122" s="76"/>
      <c r="R122" s="76"/>
      <c r="S122" s="76" t="s">
        <v>7240</v>
      </c>
      <c r="T122" s="76" t="s">
        <v>7311</v>
      </c>
    </row>
    <row r="123" spans="1:25" ht="154" x14ac:dyDescent="0.15">
      <c r="A123" s="66">
        <v>46023</v>
      </c>
      <c r="B123" s="67" t="s">
        <v>42</v>
      </c>
      <c r="C123" s="67" t="s">
        <v>7244</v>
      </c>
      <c r="D123" s="68" t="s">
        <v>7253</v>
      </c>
      <c r="E123" s="69"/>
      <c r="F123" s="70">
        <v>85375</v>
      </c>
      <c r="G123" s="71" t="str">
        <f>WENNFEHLER(SVERWEIS(Kundenliste[[#This Row],[PLZ]];PLZ[];2;0);"")</f>
        <v>Neufahrn b. Freising</v>
      </c>
      <c r="H123" s="72" t="s">
        <v>7254</v>
      </c>
      <c r="I123" s="73"/>
      <c r="J123" s="74"/>
      <c r="K123" s="74"/>
      <c r="L123" s="75" t="s">
        <v>7342</v>
      </c>
      <c r="M123" s="76"/>
      <c r="N123" s="76"/>
      <c r="O123" s="76"/>
      <c r="P123" s="76"/>
      <c r="Q123" s="76"/>
      <c r="R123" s="76"/>
      <c r="S123" s="76" t="s">
        <v>7240</v>
      </c>
      <c r="T123" s="76" t="s">
        <v>7312</v>
      </c>
    </row>
    <row r="124" spans="1:25" ht="154" x14ac:dyDescent="0.15">
      <c r="A124" s="66">
        <v>46023</v>
      </c>
      <c r="B124" s="67" t="s">
        <v>42</v>
      </c>
      <c r="C124" s="67" t="s">
        <v>7244</v>
      </c>
      <c r="D124" s="68" t="s">
        <v>7255</v>
      </c>
      <c r="E124" s="69"/>
      <c r="F124" s="70">
        <v>80809</v>
      </c>
      <c r="G124" s="71" t="str">
        <f>WENNFEHLER(SVERWEIS(Kundenliste[[#This Row],[PLZ]];PLZ[];2;0);"")</f>
        <v>München</v>
      </c>
      <c r="H124" s="72" t="s">
        <v>7256</v>
      </c>
      <c r="I124" s="73">
        <v>2</v>
      </c>
      <c r="J124" s="74"/>
      <c r="K124" s="74"/>
      <c r="L124" s="75" t="s">
        <v>7343</v>
      </c>
      <c r="M124" s="76"/>
      <c r="N124" s="76"/>
      <c r="O124" s="76"/>
      <c r="P124" s="76"/>
      <c r="Q124" s="76"/>
      <c r="R124" s="76"/>
      <c r="S124" s="76" t="s">
        <v>7240</v>
      </c>
      <c r="T124" s="76" t="s">
        <v>7313</v>
      </c>
    </row>
    <row r="125" spans="1:25" ht="154" x14ac:dyDescent="0.15">
      <c r="A125" s="66">
        <v>46023</v>
      </c>
      <c r="B125" s="67" t="s">
        <v>42</v>
      </c>
      <c r="C125" s="67" t="s">
        <v>7244</v>
      </c>
      <c r="D125" s="68" t="s">
        <v>7257</v>
      </c>
      <c r="E125" s="69"/>
      <c r="F125" s="70">
        <v>85748</v>
      </c>
      <c r="G125" s="71" t="str">
        <f>WENNFEHLER(SVERWEIS(Kundenliste[[#This Row],[PLZ]];PLZ[];2;0);"")</f>
        <v>Garching b. München</v>
      </c>
      <c r="H125" s="72" t="s">
        <v>7258</v>
      </c>
      <c r="I125" s="73">
        <v>1</v>
      </c>
      <c r="J125" s="74"/>
      <c r="K125" s="74"/>
      <c r="L125" s="75" t="s">
        <v>7344</v>
      </c>
      <c r="M125" s="76"/>
      <c r="N125" s="76"/>
      <c r="O125" s="76"/>
      <c r="P125" s="76"/>
      <c r="Q125" s="76"/>
      <c r="R125" s="76"/>
      <c r="S125" s="76" t="s">
        <v>7240</v>
      </c>
      <c r="T125" s="76" t="s">
        <v>7314</v>
      </c>
    </row>
    <row r="126" spans="1:25" ht="154" x14ac:dyDescent="0.15">
      <c r="A126" s="66">
        <v>46023</v>
      </c>
      <c r="B126" s="67" t="s">
        <v>42</v>
      </c>
      <c r="C126" s="67" t="s">
        <v>7244</v>
      </c>
      <c r="D126" s="68" t="s">
        <v>7259</v>
      </c>
      <c r="E126" s="69"/>
      <c r="F126" s="70">
        <v>84405</v>
      </c>
      <c r="G126" s="71" t="str">
        <f>WENNFEHLER(SVERWEIS(Kundenliste[[#This Row],[PLZ]];PLZ[];2;0);"")</f>
        <v>Dorfen</v>
      </c>
      <c r="H126" s="72" t="s">
        <v>7260</v>
      </c>
      <c r="I126" s="73">
        <v>2</v>
      </c>
      <c r="J126" s="74"/>
      <c r="K126" s="74"/>
      <c r="L126" s="75" t="s">
        <v>7345</v>
      </c>
      <c r="M126" s="76"/>
      <c r="N126" s="76"/>
      <c r="O126" s="76"/>
      <c r="P126" s="76"/>
      <c r="Q126" s="76"/>
      <c r="R126" s="76"/>
      <c r="S126" s="76" t="s">
        <v>7240</v>
      </c>
      <c r="T126" s="76" t="s">
        <v>7315</v>
      </c>
    </row>
    <row r="127" spans="1:25" ht="280" x14ac:dyDescent="0.15">
      <c r="A127" s="66">
        <v>46023</v>
      </c>
      <c r="B127" s="67" t="s">
        <v>42</v>
      </c>
      <c r="C127" s="67" t="s">
        <v>7244</v>
      </c>
      <c r="D127" s="68" t="s">
        <v>7346</v>
      </c>
      <c r="E127" s="69"/>
      <c r="F127" s="70">
        <v>81379</v>
      </c>
      <c r="G127" s="71" t="str">
        <f>WENNFEHLER(SVERWEIS(Kundenliste[[#This Row],[PLZ]];PLZ[];2;0);"")</f>
        <v>München</v>
      </c>
      <c r="H127" s="72" t="s">
        <v>7170</v>
      </c>
      <c r="I127" s="73">
        <v>2</v>
      </c>
      <c r="J127" s="74"/>
      <c r="K127" s="74"/>
      <c r="L127" s="75" t="s">
        <v>7347</v>
      </c>
      <c r="M127" s="76"/>
      <c r="N127" s="76"/>
      <c r="O127" s="76"/>
      <c r="P127" s="76"/>
      <c r="Q127" s="76"/>
      <c r="R127" s="76"/>
      <c r="S127" s="76" t="s">
        <v>7261</v>
      </c>
      <c r="T127" s="76">
        <v>11540937</v>
      </c>
    </row>
    <row r="128" spans="1:25" ht="280" x14ac:dyDescent="0.15">
      <c r="A128" s="66">
        <v>46023</v>
      </c>
      <c r="B128" s="67" t="s">
        <v>42</v>
      </c>
      <c r="C128" s="67" t="s">
        <v>7244</v>
      </c>
      <c r="D128" s="68" t="s">
        <v>7262</v>
      </c>
      <c r="E128" s="69"/>
      <c r="F128" s="70">
        <v>85406</v>
      </c>
      <c r="G128" s="71" t="str">
        <f>WENNFEHLER(SVERWEIS(Kundenliste[[#This Row],[PLZ]];PLZ[];2;0);"")</f>
        <v>Zolling</v>
      </c>
      <c r="H128" s="72" t="s">
        <v>7263</v>
      </c>
      <c r="I128" s="73">
        <v>1</v>
      </c>
      <c r="J128" s="74"/>
      <c r="K128" s="74"/>
      <c r="L128" s="75" t="s">
        <v>7352</v>
      </c>
      <c r="M128" s="76"/>
      <c r="N128" s="76"/>
      <c r="O128" s="76"/>
      <c r="P128" s="76"/>
      <c r="Q128" s="76"/>
      <c r="R128" s="76"/>
      <c r="S128" s="76" t="s">
        <v>7261</v>
      </c>
      <c r="T128" s="76">
        <v>11583748</v>
      </c>
    </row>
    <row r="129" spans="1:20" ht="306" x14ac:dyDescent="0.15">
      <c r="A129" s="66">
        <v>46023</v>
      </c>
      <c r="B129" s="67" t="s">
        <v>42</v>
      </c>
      <c r="C129" s="67" t="s">
        <v>7244</v>
      </c>
      <c r="D129" s="68" t="s">
        <v>7264</v>
      </c>
      <c r="E129" s="69" t="s">
        <v>7316</v>
      </c>
      <c r="F129" s="70">
        <v>85604</v>
      </c>
      <c r="G129" s="71" t="str">
        <f>WENNFEHLER(SVERWEIS(Kundenliste[[#This Row],[PLZ]];PLZ[];2;0);"")</f>
        <v>Zorneding</v>
      </c>
      <c r="H129" s="72" t="s">
        <v>7265</v>
      </c>
      <c r="I129" s="73">
        <v>2</v>
      </c>
      <c r="J129" s="74"/>
      <c r="K129" s="74"/>
      <c r="L129" s="75" t="s">
        <v>7353</v>
      </c>
      <c r="M129" s="76"/>
      <c r="N129" s="76"/>
      <c r="O129" s="76"/>
      <c r="P129" s="76"/>
      <c r="Q129" s="76"/>
      <c r="R129" s="76"/>
      <c r="S129" s="76" t="s">
        <v>7261</v>
      </c>
      <c r="T129" s="76">
        <v>11566902</v>
      </c>
    </row>
    <row r="130" spans="1:20" ht="280" x14ac:dyDescent="0.15">
      <c r="A130" s="66">
        <v>46023</v>
      </c>
      <c r="B130" s="67" t="s">
        <v>42</v>
      </c>
      <c r="C130" s="67" t="s">
        <v>7244</v>
      </c>
      <c r="D130" s="68" t="s">
        <v>7266</v>
      </c>
      <c r="E130" s="69"/>
      <c r="F130" s="70">
        <v>85301</v>
      </c>
      <c r="G130" s="71" t="str">
        <f>WENNFEHLER(SVERWEIS(Kundenliste[[#This Row],[PLZ]];PLZ[];2;0);"")</f>
        <v>Schweitenkirchen</v>
      </c>
      <c r="H130" s="72" t="s">
        <v>7159</v>
      </c>
      <c r="I130" s="73">
        <v>1</v>
      </c>
      <c r="J130" s="74"/>
      <c r="K130" s="74"/>
      <c r="L130" s="75" t="s">
        <v>7354</v>
      </c>
      <c r="M130" s="76"/>
      <c r="N130" s="76"/>
      <c r="O130" s="76"/>
      <c r="P130" s="76"/>
      <c r="Q130" s="76"/>
      <c r="R130" s="76"/>
      <c r="S130" s="76" t="s">
        <v>7261</v>
      </c>
      <c r="T130" s="76">
        <v>11540991</v>
      </c>
    </row>
    <row r="131" spans="1:20" ht="280" x14ac:dyDescent="0.15">
      <c r="A131" s="66">
        <v>46023</v>
      </c>
      <c r="B131" s="67" t="s">
        <v>42</v>
      </c>
      <c r="C131" s="67" t="s">
        <v>7244</v>
      </c>
      <c r="D131" s="68" t="s">
        <v>7267</v>
      </c>
      <c r="E131" s="69"/>
      <c r="F131" s="70">
        <v>85416</v>
      </c>
      <c r="G131" s="71" t="str">
        <f>WENNFEHLER(SVERWEIS(Kundenliste[[#This Row],[PLZ]];PLZ[];2;0);"")</f>
        <v>Langenbach Kr. Freising</v>
      </c>
      <c r="H131" s="72" t="s">
        <v>7193</v>
      </c>
      <c r="I131" s="73">
        <v>3</v>
      </c>
      <c r="J131" s="74"/>
      <c r="K131" s="74"/>
      <c r="L131" s="75" t="s">
        <v>7355</v>
      </c>
      <c r="M131" s="76"/>
      <c r="N131" s="76"/>
      <c r="O131" s="76"/>
      <c r="P131" s="76"/>
      <c r="Q131" s="76"/>
      <c r="R131" s="76"/>
      <c r="S131" s="76" t="s">
        <v>7261</v>
      </c>
      <c r="T131" s="76">
        <v>11595965</v>
      </c>
    </row>
    <row r="132" spans="1:20" ht="293" x14ac:dyDescent="0.15">
      <c r="A132" s="66">
        <v>46023</v>
      </c>
      <c r="B132" s="67" t="s">
        <v>42</v>
      </c>
      <c r="C132" s="67" t="s">
        <v>7244</v>
      </c>
      <c r="D132" s="68" t="s">
        <v>7268</v>
      </c>
      <c r="E132" s="69" t="s">
        <v>7317</v>
      </c>
      <c r="F132" s="70">
        <v>85586</v>
      </c>
      <c r="G132" s="71" t="str">
        <f>WENNFEHLER(SVERWEIS(Kundenliste[[#This Row],[PLZ]];PLZ[];2;0);"")</f>
        <v>Poing</v>
      </c>
      <c r="H132" s="72" t="s">
        <v>7269</v>
      </c>
      <c r="I132" s="73">
        <v>1</v>
      </c>
      <c r="J132" s="74"/>
      <c r="K132" s="74"/>
      <c r="L132" s="75" t="s">
        <v>7356</v>
      </c>
      <c r="M132" s="76"/>
      <c r="N132" s="76"/>
      <c r="O132" s="76"/>
      <c r="P132" s="76"/>
      <c r="Q132" s="76"/>
      <c r="R132" s="76"/>
      <c r="S132" s="76" t="s">
        <v>7261</v>
      </c>
      <c r="T132" s="76">
        <v>11577062</v>
      </c>
    </row>
    <row r="133" spans="1:20" ht="293" x14ac:dyDescent="0.15">
      <c r="A133" s="66">
        <v>46023</v>
      </c>
      <c r="B133" s="67" t="s">
        <v>42</v>
      </c>
      <c r="C133" s="67" t="s">
        <v>7244</v>
      </c>
      <c r="D133" s="68" t="s">
        <v>7270</v>
      </c>
      <c r="E133" s="69" t="s">
        <v>7318</v>
      </c>
      <c r="F133" s="70">
        <v>84036</v>
      </c>
      <c r="G133" s="71" t="str">
        <f>WENNFEHLER(SVERWEIS(Kundenliste[[#This Row],[PLZ]];PLZ[];2;0);"")</f>
        <v>Landshut</v>
      </c>
      <c r="H133" s="72" t="s">
        <v>7271</v>
      </c>
      <c r="I133" s="73">
        <v>2</v>
      </c>
      <c r="J133" s="74"/>
      <c r="K133" s="74"/>
      <c r="L133" s="75" t="s">
        <v>7357</v>
      </c>
      <c r="M133" s="76"/>
      <c r="N133" s="76"/>
      <c r="O133" s="76"/>
      <c r="P133" s="76"/>
      <c r="Q133" s="76"/>
      <c r="R133" s="76"/>
      <c r="S133" s="76" t="s">
        <v>7261</v>
      </c>
      <c r="T133" s="76">
        <v>11578113</v>
      </c>
    </row>
    <row r="134" spans="1:20" ht="293" x14ac:dyDescent="0.15">
      <c r="A134" s="66">
        <v>46023</v>
      </c>
      <c r="B134" s="67" t="s">
        <v>42</v>
      </c>
      <c r="C134" s="67" t="s">
        <v>7244</v>
      </c>
      <c r="D134" s="68" t="s">
        <v>7272</v>
      </c>
      <c r="E134" s="69" t="s">
        <v>7319</v>
      </c>
      <c r="F134" s="70">
        <v>85599</v>
      </c>
      <c r="G134" s="71" t="str">
        <f>WENNFEHLER(SVERWEIS(Kundenliste[[#This Row],[PLZ]];PLZ[];2;0);"")</f>
        <v>Vaterstetten</v>
      </c>
      <c r="H134" s="72" t="s">
        <v>7273</v>
      </c>
      <c r="I134" s="73">
        <v>2</v>
      </c>
      <c r="J134" s="74"/>
      <c r="K134" s="74"/>
      <c r="L134" s="75" t="s">
        <v>7358</v>
      </c>
      <c r="M134" s="76"/>
      <c r="N134" s="76"/>
      <c r="O134" s="76"/>
      <c r="P134" s="76"/>
      <c r="Q134" s="76"/>
      <c r="R134" s="76"/>
      <c r="S134" s="76" t="s">
        <v>7261</v>
      </c>
      <c r="T134" s="76">
        <v>11599636</v>
      </c>
    </row>
    <row r="135" spans="1:20" ht="280" x14ac:dyDescent="0.15">
      <c r="A135" s="66">
        <v>46023</v>
      </c>
      <c r="B135" s="67" t="s">
        <v>42</v>
      </c>
      <c r="C135" s="67" t="s">
        <v>7244</v>
      </c>
      <c r="D135" s="68" t="s">
        <v>7274</v>
      </c>
      <c r="E135" s="69"/>
      <c r="F135" s="70">
        <v>85356</v>
      </c>
      <c r="G135" s="71" t="str">
        <f>WENNFEHLER(SVERWEIS(Kundenliste[[#This Row],[PLZ]];PLZ[];2;0);"")</f>
        <v>Freising</v>
      </c>
      <c r="H135" s="72" t="s">
        <v>7166</v>
      </c>
      <c r="I135" s="73">
        <v>3</v>
      </c>
      <c r="J135" s="74"/>
      <c r="K135" s="74"/>
      <c r="L135" s="75" t="s">
        <v>7359</v>
      </c>
      <c r="M135" s="76"/>
      <c r="N135" s="76"/>
      <c r="O135" s="76"/>
      <c r="P135" s="76"/>
      <c r="Q135" s="76"/>
      <c r="R135" s="76"/>
      <c r="S135" s="76" t="s">
        <v>7261</v>
      </c>
      <c r="T135" s="76">
        <v>11549516</v>
      </c>
    </row>
    <row r="136" spans="1:20" ht="293" x14ac:dyDescent="0.15">
      <c r="A136" s="66">
        <v>46023</v>
      </c>
      <c r="B136" s="67" t="s">
        <v>42</v>
      </c>
      <c r="C136" s="67" t="s">
        <v>7244</v>
      </c>
      <c r="D136" s="68" t="s">
        <v>7275</v>
      </c>
      <c r="E136" s="69"/>
      <c r="F136" s="70">
        <v>80935</v>
      </c>
      <c r="G136" s="71" t="str">
        <f>WENNFEHLER(SVERWEIS(Kundenliste[[#This Row],[PLZ]];PLZ[];2;0);"")</f>
        <v>München</v>
      </c>
      <c r="H136" s="72" t="s">
        <v>7176</v>
      </c>
      <c r="I136" s="73">
        <v>1</v>
      </c>
      <c r="J136" s="74"/>
      <c r="K136" s="74"/>
      <c r="L136" s="75" t="s">
        <v>7360</v>
      </c>
      <c r="M136" s="76"/>
      <c r="N136" s="76"/>
      <c r="O136" s="76"/>
      <c r="P136" s="76"/>
      <c r="Q136" s="76"/>
      <c r="R136" s="76"/>
      <c r="S136" s="76" t="s">
        <v>7261</v>
      </c>
      <c r="T136" s="76">
        <v>11573836</v>
      </c>
    </row>
    <row r="137" spans="1:20" ht="154" x14ac:dyDescent="0.15">
      <c r="A137" s="66">
        <v>46023</v>
      </c>
      <c r="B137" s="67" t="s">
        <v>42</v>
      </c>
      <c r="C137" s="67" t="s">
        <v>7244</v>
      </c>
      <c r="D137" s="68" t="s">
        <v>7279</v>
      </c>
      <c r="E137" s="69"/>
      <c r="F137" s="70">
        <v>85737</v>
      </c>
      <c r="G137" s="71" t="str">
        <f>WENNFEHLER(SVERWEIS(Kundenliste[[#This Row],[PLZ]];PLZ[];2;0);"")</f>
        <v>Hallbergmoos</v>
      </c>
      <c r="H137" s="72" t="s">
        <v>7280</v>
      </c>
      <c r="I137" s="73">
        <v>1</v>
      </c>
      <c r="J137" s="74"/>
      <c r="K137" s="74"/>
      <c r="L137" s="75" t="s">
        <v>7361</v>
      </c>
      <c r="M137" s="76"/>
      <c r="N137" s="76"/>
      <c r="O137" s="76"/>
      <c r="P137" s="76"/>
      <c r="Q137" s="76"/>
      <c r="R137" s="76"/>
      <c r="S137" s="76" t="s">
        <v>7240</v>
      </c>
      <c r="T137" s="76" t="s">
        <v>7320</v>
      </c>
    </row>
    <row r="138" spans="1:20" ht="154" x14ac:dyDescent="0.15">
      <c r="A138" s="66">
        <v>46023</v>
      </c>
      <c r="B138" s="67" t="s">
        <v>42</v>
      </c>
      <c r="C138" s="67" t="s">
        <v>7244</v>
      </c>
      <c r="D138" s="68" t="s">
        <v>7281</v>
      </c>
      <c r="E138" s="69"/>
      <c r="F138" s="70">
        <v>80939</v>
      </c>
      <c r="G138" s="71" t="str">
        <f>WENNFEHLER(SVERWEIS(Kundenliste[[#This Row],[PLZ]];PLZ[];2;0);"")</f>
        <v>München</v>
      </c>
      <c r="H138" s="72" t="s">
        <v>7282</v>
      </c>
      <c r="I138" s="73">
        <v>2</v>
      </c>
      <c r="J138" s="74"/>
      <c r="K138" s="74"/>
      <c r="L138" s="75" t="s">
        <v>7362</v>
      </c>
      <c r="M138" s="76"/>
      <c r="N138" s="76"/>
      <c r="O138" s="76"/>
      <c r="P138" s="76"/>
      <c r="Q138" s="76"/>
      <c r="R138" s="76"/>
      <c r="S138" s="76" t="s">
        <v>7240</v>
      </c>
      <c r="T138" s="76" t="s">
        <v>7321</v>
      </c>
    </row>
    <row r="139" spans="1:20" ht="154" x14ac:dyDescent="0.15">
      <c r="A139" s="66">
        <v>46023</v>
      </c>
      <c r="B139" s="67" t="s">
        <v>42</v>
      </c>
      <c r="C139" s="67" t="s">
        <v>7243</v>
      </c>
      <c r="D139" s="68" t="s">
        <v>7241</v>
      </c>
      <c r="E139" s="69"/>
      <c r="F139" s="70">
        <v>85399</v>
      </c>
      <c r="G139" s="71" t="str">
        <f>WENNFEHLER(SVERWEIS(Kundenliste[[#This Row],[PLZ]];PLZ[];2;0);"")</f>
        <v>Hallbergmoos</v>
      </c>
      <c r="H139" s="72" t="s">
        <v>7242</v>
      </c>
      <c r="I139" s="73">
        <v>1</v>
      </c>
      <c r="J139" s="74"/>
      <c r="K139" s="74"/>
      <c r="L139" s="75" t="s">
        <v>7363</v>
      </c>
      <c r="M139" s="76"/>
      <c r="N139" s="76"/>
      <c r="O139" s="76"/>
      <c r="P139" s="76"/>
      <c r="Q139" s="76"/>
      <c r="R139" s="76"/>
      <c r="S139" s="76" t="s">
        <v>7240</v>
      </c>
      <c r="T139" s="76" t="s">
        <v>7307</v>
      </c>
    </row>
    <row r="140" spans="1:20" ht="154" x14ac:dyDescent="0.15">
      <c r="A140" s="66">
        <v>46023</v>
      </c>
      <c r="B140" s="67" t="s">
        <v>42</v>
      </c>
      <c r="C140" s="67" t="s">
        <v>7244</v>
      </c>
      <c r="D140" s="68" t="s">
        <v>7283</v>
      </c>
      <c r="E140" s="69"/>
      <c r="F140" s="70">
        <v>85368</v>
      </c>
      <c r="G140" s="71" t="str">
        <f>WENNFEHLER(SVERWEIS(Kundenliste[[#This Row],[PLZ]];PLZ[];2;0);"")</f>
        <v>Wang</v>
      </c>
      <c r="H140" s="72" t="s">
        <v>7284</v>
      </c>
      <c r="I140" s="73">
        <v>1</v>
      </c>
      <c r="J140" s="74"/>
      <c r="K140" s="74"/>
      <c r="L140" s="75" t="s">
        <v>7364</v>
      </c>
      <c r="M140" s="76"/>
      <c r="N140" s="76"/>
      <c r="O140" s="76"/>
      <c r="P140" s="76"/>
      <c r="Q140" s="76"/>
      <c r="R140" s="76"/>
      <c r="S140" s="76" t="s">
        <v>7240</v>
      </c>
      <c r="T140" s="76" t="s">
        <v>7322</v>
      </c>
    </row>
    <row r="141" spans="1:20" ht="154" x14ac:dyDescent="0.15">
      <c r="A141" s="66">
        <v>46023</v>
      </c>
      <c r="B141" s="67" t="s">
        <v>42</v>
      </c>
      <c r="C141" s="67" t="s">
        <v>7244</v>
      </c>
      <c r="D141" s="68" t="s">
        <v>7285</v>
      </c>
      <c r="E141" s="69"/>
      <c r="F141" s="70">
        <v>84036</v>
      </c>
      <c r="G141" s="71" t="str">
        <f>WENNFEHLER(SVERWEIS(Kundenliste[[#This Row],[PLZ]];PLZ[];2;0);"")</f>
        <v>Landshut</v>
      </c>
      <c r="H141" s="72" t="s">
        <v>7286</v>
      </c>
      <c r="I141" s="73">
        <v>2</v>
      </c>
      <c r="J141" s="74"/>
      <c r="K141" s="74"/>
      <c r="L141" s="75" t="s">
        <v>7365</v>
      </c>
      <c r="M141" s="76"/>
      <c r="N141" s="76"/>
      <c r="O141" s="76"/>
      <c r="P141" s="76"/>
      <c r="Q141" s="76"/>
      <c r="R141" s="76"/>
      <c r="S141" s="76" t="s">
        <v>7240</v>
      </c>
      <c r="T141" s="76" t="s">
        <v>7323</v>
      </c>
    </row>
    <row r="142" spans="1:20" ht="154" x14ac:dyDescent="0.15">
      <c r="A142" s="66">
        <v>46023</v>
      </c>
      <c r="B142" s="67" t="s">
        <v>42</v>
      </c>
      <c r="C142" s="67" t="s">
        <v>7243</v>
      </c>
      <c r="D142" s="68" t="s">
        <v>7287</v>
      </c>
      <c r="E142" s="69"/>
      <c r="F142" s="70">
        <v>84028</v>
      </c>
      <c r="G142" s="71" t="str">
        <f>WENNFEHLER(SVERWEIS(Kundenliste[[#This Row],[PLZ]];PLZ[];2;0);"")</f>
        <v>Landshut</v>
      </c>
      <c r="H142" s="72" t="s">
        <v>7288</v>
      </c>
      <c r="I142" s="73">
        <v>4</v>
      </c>
      <c r="J142" s="74"/>
      <c r="K142" s="74"/>
      <c r="L142" s="75" t="s">
        <v>7366</v>
      </c>
      <c r="M142" s="76"/>
      <c r="N142" s="76"/>
      <c r="O142" s="76"/>
      <c r="P142" s="76"/>
      <c r="Q142" s="76"/>
      <c r="R142" s="76"/>
      <c r="S142" s="76" t="s">
        <v>7240</v>
      </c>
      <c r="T142" s="76" t="s">
        <v>7324</v>
      </c>
    </row>
    <row r="143" spans="1:20" ht="154" x14ac:dyDescent="0.15">
      <c r="A143" s="66">
        <v>46023</v>
      </c>
      <c r="B143" s="67" t="s">
        <v>42</v>
      </c>
      <c r="C143" s="67" t="s">
        <v>7244</v>
      </c>
      <c r="D143" s="68" t="s">
        <v>7289</v>
      </c>
      <c r="E143" s="69"/>
      <c r="F143" s="70">
        <v>85599</v>
      </c>
      <c r="G143" s="71" t="str">
        <f>WENNFEHLER(SVERWEIS(Kundenliste[[#This Row],[PLZ]];PLZ[];2;0);"")</f>
        <v>Vaterstetten</v>
      </c>
      <c r="H143" s="72" t="s">
        <v>7290</v>
      </c>
      <c r="I143" s="73">
        <v>2</v>
      </c>
      <c r="J143" s="74"/>
      <c r="K143" s="74"/>
      <c r="L143" s="75" t="s">
        <v>7367</v>
      </c>
      <c r="M143" s="76"/>
      <c r="N143" s="76"/>
      <c r="O143" s="76"/>
      <c r="P143" s="76"/>
      <c r="Q143" s="76"/>
      <c r="R143" s="76"/>
      <c r="S143" s="76" t="s">
        <v>7240</v>
      </c>
      <c r="T143" s="76" t="s">
        <v>7325</v>
      </c>
    </row>
    <row r="144" spans="1:20" ht="154" x14ac:dyDescent="0.15">
      <c r="A144" s="66">
        <v>46023</v>
      </c>
      <c r="B144" s="67" t="s">
        <v>42</v>
      </c>
      <c r="C144" s="67" t="s">
        <v>7244</v>
      </c>
      <c r="D144" s="68" t="s">
        <v>7291</v>
      </c>
      <c r="E144" s="69"/>
      <c r="F144" s="70">
        <v>80805</v>
      </c>
      <c r="G144" s="71" t="str">
        <f>WENNFEHLER(SVERWEIS(Kundenliste[[#This Row],[PLZ]];PLZ[];2;0);"")</f>
        <v>München</v>
      </c>
      <c r="H144" s="72" t="s">
        <v>7292</v>
      </c>
      <c r="I144" s="73">
        <v>3</v>
      </c>
      <c r="J144" s="74"/>
      <c r="K144" s="74"/>
      <c r="L144" s="75" t="s">
        <v>7368</v>
      </c>
      <c r="M144" s="76"/>
      <c r="N144" s="76"/>
      <c r="O144" s="76"/>
      <c r="P144" s="76"/>
      <c r="Q144" s="76"/>
      <c r="R144" s="76"/>
      <c r="S144" s="76" t="s">
        <v>7240</v>
      </c>
      <c r="T144" s="76" t="s">
        <v>7326</v>
      </c>
    </row>
    <row r="145" spans="1:20" ht="293" x14ac:dyDescent="0.15">
      <c r="A145" s="66">
        <v>46023</v>
      </c>
      <c r="B145" s="67" t="s">
        <v>42</v>
      </c>
      <c r="C145" s="67" t="s">
        <v>7244</v>
      </c>
      <c r="D145" s="68" t="s">
        <v>7293</v>
      </c>
      <c r="E145" s="69" t="s">
        <v>7327</v>
      </c>
      <c r="F145" s="70">
        <v>85399</v>
      </c>
      <c r="G145" s="71" t="str">
        <f>WENNFEHLER(SVERWEIS(Kundenliste[[#This Row],[PLZ]];PLZ[];2;0);"")</f>
        <v>Hallbergmoos</v>
      </c>
      <c r="H145" s="72" t="s">
        <v>7294</v>
      </c>
      <c r="I145" s="73">
        <v>2</v>
      </c>
      <c r="J145" s="74"/>
      <c r="K145" s="74"/>
      <c r="L145" s="75" t="s">
        <v>7369</v>
      </c>
      <c r="M145" s="76"/>
      <c r="N145" s="76"/>
      <c r="O145" s="76"/>
      <c r="P145" s="76"/>
      <c r="Q145" s="76"/>
      <c r="R145" s="76"/>
      <c r="S145" s="76" t="s">
        <v>7261</v>
      </c>
      <c r="T145" s="76">
        <v>11714018</v>
      </c>
    </row>
    <row r="146" spans="1:20" ht="293" x14ac:dyDescent="0.15">
      <c r="A146" s="66">
        <v>46023</v>
      </c>
      <c r="B146" s="67" t="s">
        <v>42</v>
      </c>
      <c r="C146" s="67" t="s">
        <v>7244</v>
      </c>
      <c r="D146" s="68" t="s">
        <v>7329</v>
      </c>
      <c r="E146" s="69" t="s">
        <v>7332</v>
      </c>
      <c r="F146" s="70">
        <v>84032</v>
      </c>
      <c r="G146" s="71" t="str">
        <f>WENNFEHLER(SVERWEIS(Kundenliste[[#This Row],[PLZ]];PLZ[];2;0);"")</f>
        <v>Furth Kr. Landshut</v>
      </c>
      <c r="H146" s="72" t="s">
        <v>7330</v>
      </c>
      <c r="I146" s="73">
        <v>2</v>
      </c>
      <c r="J146" s="74"/>
      <c r="K146" s="74"/>
      <c r="L146" s="75" t="s">
        <v>7331</v>
      </c>
      <c r="M146" s="76"/>
      <c r="N146" s="76"/>
      <c r="O146" s="76"/>
      <c r="P146" s="76"/>
      <c r="Q146" s="76"/>
      <c r="R146" s="76"/>
      <c r="S146" s="76" t="s">
        <v>7261</v>
      </c>
      <c r="T146" s="76">
        <v>11751955</v>
      </c>
    </row>
    <row r="147" spans="1:20" ht="293" x14ac:dyDescent="0.15">
      <c r="A147" s="66">
        <v>46023</v>
      </c>
      <c r="B147" s="67" t="s">
        <v>42</v>
      </c>
      <c r="C147" s="67" t="s">
        <v>7244</v>
      </c>
      <c r="D147" s="68" t="s">
        <v>7295</v>
      </c>
      <c r="E147" s="69"/>
      <c r="F147" s="70">
        <v>85375</v>
      </c>
      <c r="G147" s="71" t="str">
        <f>WENNFEHLER(SVERWEIS(Kundenliste[[#This Row],[PLZ]];PLZ[];2;0);"")</f>
        <v>Neufahrn b. Freising</v>
      </c>
      <c r="H147" s="72" t="s">
        <v>7296</v>
      </c>
      <c r="I147" s="73">
        <v>1</v>
      </c>
      <c r="J147" s="74"/>
      <c r="K147" s="74"/>
      <c r="L147" s="75" t="s">
        <v>7370</v>
      </c>
      <c r="M147" s="76"/>
      <c r="N147" s="76"/>
      <c r="O147" s="76"/>
      <c r="P147" s="76"/>
      <c r="Q147" s="76"/>
      <c r="R147" s="76"/>
      <c r="S147" s="76" t="s">
        <v>7261</v>
      </c>
      <c r="T147" s="76">
        <v>11741409</v>
      </c>
    </row>
    <row r="148" spans="1:20" ht="266" x14ac:dyDescent="0.15">
      <c r="A148" s="66">
        <v>46023</v>
      </c>
      <c r="B148" s="67" t="s">
        <v>42</v>
      </c>
      <c r="C148" s="67" t="s">
        <v>7243</v>
      </c>
      <c r="D148" s="68" t="s">
        <v>7276</v>
      </c>
      <c r="E148" s="69"/>
      <c r="F148" s="70">
        <v>85375</v>
      </c>
      <c r="G148" s="71" t="str">
        <f>WENNFEHLER(SVERWEIS(Kundenliste[[#This Row],[PLZ]];PLZ[];2;0);"")</f>
        <v>Neufahrn b. Freising</v>
      </c>
      <c r="H148" s="72" t="s">
        <v>7306</v>
      </c>
      <c r="I148" s="73">
        <v>1</v>
      </c>
      <c r="J148" s="74"/>
      <c r="K148" s="74"/>
      <c r="L148" s="75" t="s">
        <v>7371</v>
      </c>
      <c r="M148" s="76"/>
      <c r="N148" s="76"/>
      <c r="O148" s="76"/>
      <c r="P148" s="76"/>
      <c r="Q148" s="76"/>
      <c r="R148" s="76"/>
      <c r="S148" s="76" t="s">
        <v>7261</v>
      </c>
      <c r="T148" s="76">
        <v>11684846</v>
      </c>
    </row>
    <row r="149" spans="1:20" ht="293" x14ac:dyDescent="0.15">
      <c r="A149" s="66">
        <v>46023</v>
      </c>
      <c r="B149" s="67" t="s">
        <v>42</v>
      </c>
      <c r="C149" s="67" t="s">
        <v>7244</v>
      </c>
      <c r="D149" s="68" t="s">
        <v>7297</v>
      </c>
      <c r="E149" s="69"/>
      <c r="F149" s="70">
        <v>84036</v>
      </c>
      <c r="G149" s="71" t="str">
        <f>WENNFEHLER(SVERWEIS(Kundenliste[[#This Row],[PLZ]];PLZ[];2;0);"")</f>
        <v>Landshut</v>
      </c>
      <c r="H149" s="72" t="s">
        <v>7298</v>
      </c>
      <c r="I149" s="73">
        <v>2</v>
      </c>
      <c r="J149" s="74"/>
      <c r="K149" s="74"/>
      <c r="L149" s="75" t="s">
        <v>7372</v>
      </c>
      <c r="M149" s="76"/>
      <c r="N149" s="76"/>
      <c r="O149" s="76"/>
      <c r="P149" s="76"/>
      <c r="Q149" s="76"/>
      <c r="R149" s="76"/>
      <c r="S149" s="76" t="s">
        <v>7261</v>
      </c>
      <c r="T149" s="76">
        <v>11749972</v>
      </c>
    </row>
    <row r="150" spans="1:20" ht="266" x14ac:dyDescent="0.15">
      <c r="A150" s="66">
        <v>46023</v>
      </c>
      <c r="B150" s="67" t="s">
        <v>42</v>
      </c>
      <c r="C150" s="67" t="s">
        <v>7244</v>
      </c>
      <c r="D150" s="68" t="s">
        <v>7299</v>
      </c>
      <c r="E150" s="69"/>
      <c r="F150" s="70">
        <v>85591</v>
      </c>
      <c r="G150" s="71" t="str">
        <f>WENNFEHLER(SVERWEIS(Kundenliste[[#This Row],[PLZ]];PLZ[];2;0);"")</f>
        <v>Vaterstetten</v>
      </c>
      <c r="H150" s="72" t="s">
        <v>7300</v>
      </c>
      <c r="I150" s="73">
        <v>2</v>
      </c>
      <c r="J150" s="74"/>
      <c r="K150" s="74"/>
      <c r="L150" s="75" t="s">
        <v>7373</v>
      </c>
      <c r="M150" s="76"/>
      <c r="N150" s="76"/>
      <c r="O150" s="76"/>
      <c r="P150" s="76"/>
      <c r="Q150" s="76"/>
      <c r="R150" s="76"/>
      <c r="S150" s="76" t="s">
        <v>7261</v>
      </c>
      <c r="T150" s="76">
        <v>11747500</v>
      </c>
    </row>
    <row r="151" spans="1:20" ht="306" x14ac:dyDescent="0.15">
      <c r="A151" s="66">
        <v>46023</v>
      </c>
      <c r="B151" s="67" t="s">
        <v>42</v>
      </c>
      <c r="C151" s="67" t="s">
        <v>7244</v>
      </c>
      <c r="D151" s="68" t="s">
        <v>7337</v>
      </c>
      <c r="E151" s="69" t="s">
        <v>7328</v>
      </c>
      <c r="F151" s="70">
        <v>85570</v>
      </c>
      <c r="G151" s="71" t="str">
        <f>WENNFEHLER(SVERWEIS(Kundenliste[[#This Row],[PLZ]];PLZ[];2;0);"")</f>
        <v>Anzing</v>
      </c>
      <c r="H151" s="72" t="s">
        <v>7301</v>
      </c>
      <c r="I151" s="73">
        <v>1</v>
      </c>
      <c r="J151" s="74"/>
      <c r="K151" s="74"/>
      <c r="L151" s="75" t="s">
        <v>7333</v>
      </c>
      <c r="M151" s="76"/>
      <c r="N151" s="76"/>
      <c r="O151" s="76"/>
      <c r="P151" s="76"/>
      <c r="Q151" s="76"/>
      <c r="R151" s="76"/>
      <c r="S151" s="76" t="s">
        <v>7261</v>
      </c>
      <c r="T151" s="76">
        <v>11745845</v>
      </c>
    </row>
    <row r="152" spans="1:20" ht="266" x14ac:dyDescent="0.15">
      <c r="A152" s="66">
        <v>46023</v>
      </c>
      <c r="B152" s="67" t="s">
        <v>42</v>
      </c>
      <c r="C152" s="67" t="s">
        <v>7244</v>
      </c>
      <c r="D152" s="68" t="s">
        <v>7277</v>
      </c>
      <c r="E152" s="69"/>
      <c r="F152" s="70">
        <v>81925</v>
      </c>
      <c r="G152" s="71" t="str">
        <f>WENNFEHLER(SVERWEIS(Kundenliste[[#This Row],[PLZ]];PLZ[];2;0);"")</f>
        <v>München</v>
      </c>
      <c r="H152" s="72" t="s">
        <v>7278</v>
      </c>
      <c r="I152" s="73">
        <v>1</v>
      </c>
      <c r="J152" s="74"/>
      <c r="K152" s="74"/>
      <c r="L152" s="75" t="s">
        <v>7374</v>
      </c>
      <c r="M152" s="76"/>
      <c r="N152" s="76"/>
      <c r="O152" s="76"/>
      <c r="P152" s="76"/>
      <c r="Q152" s="76"/>
      <c r="R152" s="76"/>
      <c r="S152" s="76" t="s">
        <v>7261</v>
      </c>
      <c r="T152" s="76">
        <v>11715949</v>
      </c>
    </row>
    <row r="153" spans="1:20" ht="293" x14ac:dyDescent="0.15">
      <c r="A153" s="66">
        <v>46023</v>
      </c>
      <c r="B153" s="67" t="s">
        <v>42</v>
      </c>
      <c r="C153" s="67" t="s">
        <v>7244</v>
      </c>
      <c r="D153" s="68" t="s">
        <v>7334</v>
      </c>
      <c r="E153" s="69"/>
      <c r="F153" s="70">
        <v>85445</v>
      </c>
      <c r="G153" s="71" t="str">
        <f>WENNFEHLER(SVERWEIS(Kundenliste[[#This Row],[PLZ]];PLZ[];2;0);"")</f>
        <v>Oberding</v>
      </c>
      <c r="H153" s="72" t="s">
        <v>7335</v>
      </c>
      <c r="I153" s="73">
        <v>2</v>
      </c>
      <c r="J153" s="74"/>
      <c r="K153" s="74"/>
      <c r="L153" s="75" t="s">
        <v>7336</v>
      </c>
      <c r="M153" s="76"/>
      <c r="N153" s="76"/>
      <c r="O153" s="76"/>
      <c r="P153" s="76"/>
      <c r="Q153" s="76"/>
      <c r="R153" s="76"/>
      <c r="S153" s="76" t="s">
        <v>7261</v>
      </c>
      <c r="T153" s="76">
        <v>11737061</v>
      </c>
    </row>
    <row r="154" spans="1:20" ht="266" x14ac:dyDescent="0.15">
      <c r="A154" s="66">
        <v>46023</v>
      </c>
      <c r="B154" s="67" t="s">
        <v>42</v>
      </c>
      <c r="C154" s="67" t="s">
        <v>7244</v>
      </c>
      <c r="D154" s="68" t="s">
        <v>7302</v>
      </c>
      <c r="E154" s="69"/>
      <c r="F154" s="70">
        <v>85386</v>
      </c>
      <c r="G154" s="71" t="str">
        <f>WENNFEHLER(SVERWEIS(Kundenliste[[#This Row],[PLZ]];PLZ[];2;0);"")</f>
        <v>Eching Kr. Freising</v>
      </c>
      <c r="H154" s="72" t="s">
        <v>7303</v>
      </c>
      <c r="I154" s="73">
        <v>2</v>
      </c>
      <c r="J154" s="74"/>
      <c r="K154" s="74"/>
      <c r="L154" s="75" t="s">
        <v>7375</v>
      </c>
      <c r="M154" s="76"/>
      <c r="N154" s="76"/>
      <c r="O154" s="76"/>
      <c r="P154" s="76"/>
      <c r="Q154" s="76"/>
      <c r="R154" s="76"/>
      <c r="S154" s="76" t="s">
        <v>7261</v>
      </c>
      <c r="T154" s="76">
        <v>11707694</v>
      </c>
    </row>
    <row r="155" spans="1:20" ht="280" x14ac:dyDescent="0.15">
      <c r="A155" s="66">
        <v>46023</v>
      </c>
      <c r="B155" s="67" t="s">
        <v>42</v>
      </c>
      <c r="C155" s="67" t="s">
        <v>7243</v>
      </c>
      <c r="D155" s="68" t="s">
        <v>7304</v>
      </c>
      <c r="E155" s="69"/>
      <c r="F155" s="70">
        <v>85354</v>
      </c>
      <c r="G155" s="71" t="str">
        <f>WENNFEHLER(SVERWEIS(Kundenliste[[#This Row],[PLZ]];PLZ[];2;0);"")</f>
        <v>Freising</v>
      </c>
      <c r="H155" s="72" t="s">
        <v>7305</v>
      </c>
      <c r="I155" s="73">
        <v>2</v>
      </c>
      <c r="J155" s="74"/>
      <c r="K155" s="74"/>
      <c r="L155" s="75" t="s">
        <v>7376</v>
      </c>
      <c r="M155" s="76"/>
      <c r="N155" s="76"/>
      <c r="O155" s="76"/>
      <c r="P155" s="76"/>
      <c r="Q155" s="76"/>
      <c r="R155" s="76"/>
      <c r="S155" s="76" t="s">
        <v>7261</v>
      </c>
      <c r="T155" s="76">
        <v>11498210</v>
      </c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</row>
    <row r="161" spans="1:19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</row>
    <row r="162" spans="1:19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</row>
    <row r="163" spans="1:19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</row>
    <row r="164" spans="1:19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</row>
    <row r="165" spans="1:19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</row>
    <row r="166" spans="1:19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</row>
    <row r="167" spans="1:19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</row>
    <row r="168" spans="1:19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</row>
    <row r="169" spans="1:19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</row>
    <row r="170" spans="1:19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</row>
    <row r="171" spans="1:19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</row>
    <row r="172" spans="1:19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</row>
    <row r="173" spans="1:19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</row>
    <row r="174" spans="1:19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</row>
    <row r="175" spans="1:19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</row>
    <row r="176" spans="1:19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55" xr:uid="{00000000-0002-0000-0000-000001000000}">
      <formula1>"Verbund Pflegehilfe,Pflegehelfer 24,Empfehlung,Sonstiges,Pflegedienst,Pflegestützpunkt"</formula1>
    </dataValidation>
    <dataValidation type="list" allowBlank="1" showErrorMessage="1" sqref="B5:B155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zoomScale="120" zoomScaleNormal="120" workbookViewId="0">
      <selection activeCell="J37" sqref="J37"/>
    </sheetView>
  </sheetViews>
  <sheetFormatPr baseColWidth="10" defaultRowHeight="15" x14ac:dyDescent="0.25"/>
  <cols>
    <col min="1" max="1" width="41.5" style="55" bestFit="1" customWidth="1"/>
    <col min="2" max="2" width="10.5" style="55" bestFit="1" customWidth="1"/>
    <col min="3" max="3" width="14.6640625" style="55" bestFit="1" customWidth="1"/>
    <col min="4" max="4" width="19.83203125" style="55" bestFit="1" customWidth="1"/>
    <col min="5" max="5" width="9.83203125" style="55" bestFit="1" customWidth="1"/>
    <col min="6" max="6" width="12.5" style="55" bestFit="1" customWidth="1"/>
    <col min="7" max="7" width="18.5" style="55" bestFit="1" customWidth="1"/>
    <col min="8" max="8" width="7.83203125" style="55" bestFit="1" customWidth="1"/>
    <col min="9" max="9" width="7.33203125" style="55" bestFit="1" customWidth="1"/>
    <col min="10" max="10" width="24.33203125" style="55" bestFit="1" customWidth="1"/>
    <col min="11" max="11" width="6.5" style="55" bestFit="1" customWidth="1"/>
    <col min="12" max="19" width="10.83203125" style="55"/>
    <col min="20" max="25" width="10.83203125" style="55" customWidth="1"/>
    <col min="26" max="16384" width="10.83203125" style="55"/>
  </cols>
  <sheetData>
    <row r="1" spans="20:25" x14ac:dyDescent="0.25">
      <c r="T1" s="55" t="s">
        <v>7083</v>
      </c>
      <c r="U1" s="55" t="s">
        <v>7079</v>
      </c>
      <c r="V1" s="55" t="s">
        <v>7084</v>
      </c>
      <c r="W1" s="55" t="s">
        <v>7085</v>
      </c>
      <c r="X1" s="55" t="s">
        <v>7083</v>
      </c>
      <c r="Y1" s="55" t="s">
        <v>7085</v>
      </c>
    </row>
    <row r="2" spans="20:25" x14ac:dyDescent="0.25">
      <c r="T2" s="62">
        <v>46023</v>
      </c>
      <c r="U2" s="55">
        <v>99</v>
      </c>
      <c r="V2" s="55">
        <v>19</v>
      </c>
      <c r="W2" s="55">
        <v>67</v>
      </c>
      <c r="X2" s="62">
        <v>46023</v>
      </c>
      <c r="Y2" s="55">
        <v>67</v>
      </c>
    </row>
    <row r="3" spans="20:25" x14ac:dyDescent="0.25">
      <c r="T3" s="62">
        <v>46054</v>
      </c>
      <c r="U3" s="55">
        <v>18</v>
      </c>
      <c r="V3" s="55">
        <v>2</v>
      </c>
      <c r="W3" s="55">
        <v>8</v>
      </c>
      <c r="X3" s="62">
        <v>46054</v>
      </c>
      <c r="Y3" s="55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0" t="s">
        <v>7239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6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6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E2"/>
  <sheetViews>
    <sheetView showGridLines="0" workbookViewId="0">
      <selection activeCell="E25" sqref="E25"/>
    </sheetView>
  </sheetViews>
  <sheetFormatPr baseColWidth="10" defaultRowHeight="13" x14ac:dyDescent="0.15"/>
  <cols>
    <col min="1" max="1" width="4.83203125" customWidth="1"/>
    <col min="3" max="3" width="16.83203125" customWidth="1"/>
    <col min="4" max="4" width="50.83203125" customWidth="1"/>
    <col min="5" max="5" width="68.83203125" bestFit="1" customWidth="1"/>
  </cols>
  <sheetData>
    <row r="1" spans="1:5" x14ac:dyDescent="0.15">
      <c r="A1" s="79" t="s">
        <v>7377</v>
      </c>
      <c r="B1" s="79" t="s">
        <v>7378</v>
      </c>
      <c r="C1" s="79" t="s">
        <v>7379</v>
      </c>
      <c r="D1" s="79" t="s">
        <v>7380</v>
      </c>
      <c r="E1" s="79" t="s">
        <v>7381</v>
      </c>
    </row>
    <row r="2" spans="1:5" x14ac:dyDescent="0.15">
      <c r="A2" s="77" t="s">
        <v>7348</v>
      </c>
      <c r="B2" s="77" t="s">
        <v>7349</v>
      </c>
      <c r="C2" s="78">
        <v>46070.4375</v>
      </c>
      <c r="D2" s="77" t="s">
        <v>7350</v>
      </c>
      <c r="E2" s="77" t="s">
        <v>7351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activeCell="A2" sqref="A2:B9756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7218</v>
      </c>
      <c r="C2" s="7" t="s">
        <v>7219</v>
      </c>
      <c r="D2" s="7" t="s">
        <v>7220</v>
      </c>
      <c r="E2" s="7" t="s">
        <v>7220</v>
      </c>
      <c r="F2" s="7" t="e">
        <v>#DIV/0!</v>
      </c>
      <c r="G2" s="7" t="e">
        <v>#DIV/0!</v>
      </c>
      <c r="H2" s="8" t="s">
        <v>7221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7222</v>
      </c>
      <c r="C3" s="10" t="s">
        <v>7219</v>
      </c>
      <c r="D3" s="10" t="s">
        <v>7223</v>
      </c>
      <c r="E3" s="10" t="s">
        <v>7223</v>
      </c>
      <c r="F3" s="10" t="e">
        <v>#DIV/0!</v>
      </c>
      <c r="G3" s="10" t="e">
        <v>#DIV/0!</v>
      </c>
      <c r="H3" s="11" t="s">
        <v>7224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7225</v>
      </c>
      <c r="C4" s="7" t="s">
        <v>7226</v>
      </c>
      <c r="D4" s="7" t="s">
        <v>7223</v>
      </c>
      <c r="E4" s="7" t="s">
        <v>7223</v>
      </c>
      <c r="F4" s="7" t="e">
        <v>#DIV/0!</v>
      </c>
      <c r="G4" s="7" t="e">
        <v>#DIV/0!</v>
      </c>
      <c r="H4" s="8" t="s">
        <v>7227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8" t="s">
        <v>232</v>
      </c>
      <c r="B7" s="58" t="s">
        <v>42</v>
      </c>
      <c r="C7" s="58" t="s">
        <v>70</v>
      </c>
      <c r="D7" s="58" t="s">
        <v>18</v>
      </c>
      <c r="E7" s="58" t="s">
        <v>59</v>
      </c>
      <c r="F7" s="58" t="s">
        <v>233</v>
      </c>
      <c r="G7" s="58" t="s">
        <v>23</v>
      </c>
      <c r="H7" s="58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7228</v>
      </c>
      <c r="C9" s="15" t="s">
        <v>7229</v>
      </c>
      <c r="D9" s="15" t="s">
        <v>7230</v>
      </c>
      <c r="E9" s="15" t="s">
        <v>7231</v>
      </c>
      <c r="F9" s="15" t="s">
        <v>7232</v>
      </c>
      <c r="G9" s="15" t="s">
        <v>7233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7234</v>
      </c>
    </row>
    <row r="19" spans="1:10" ht="22.5" customHeight="1" x14ac:dyDescent="0.15">
      <c r="A19" s="14" t="s">
        <v>234</v>
      </c>
      <c r="B19" s="15" t="s">
        <v>7235</v>
      </c>
      <c r="C19" s="15" t="s">
        <v>7236</v>
      </c>
      <c r="D19" s="15" t="s">
        <v>7237</v>
      </c>
      <c r="E19" s="15" t="s">
        <v>7238</v>
      </c>
      <c r="F19" s="15" t="s">
        <v>7223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4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Liste_plz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2026-02-17T09:31:24Z</dcterms:modified>
  <cp:category/>
  <cp:contentStatus/>
</cp:coreProperties>
</file>