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42DC5D10-1A33-0046-BE4C-9CAD7AF3AE90}" xr6:coauthVersionLast="47" xr6:coauthVersionMax="47" xr10:uidLastSave="{00000000-0000-0000-0000-000000000000}"/>
  <bookViews>
    <workbookView xWindow="38400" yWindow="600" windowWidth="38400" windowHeight="21300" xr2:uid="{00000000-000D-0000-FFFF-FFFF00000000}"/>
  </bookViews>
  <sheets>
    <sheet name="Pipeline" sheetId="1" r:id="rId1"/>
    <sheet name="Stats" sheetId="2" r:id="rId2"/>
  </sheets>
  <definedNames>
    <definedName name="_xlnm._FilterDatabase" localSheetId="0" hidden="1">Pipeline!$A$4:$R$64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2" l="1"/>
  <c r="M14" i="2"/>
  <c r="L14" i="2"/>
  <c r="K14" i="2"/>
  <c r="J14" i="2"/>
  <c r="I14" i="2"/>
  <c r="H14" i="2"/>
  <c r="G14" i="2"/>
  <c r="F14" i="2"/>
  <c r="E14" i="2"/>
  <c r="D14" i="2"/>
  <c r="C23" i="2"/>
  <c r="J18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G18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<sst xmlns="http://schemas.openxmlformats.org/spreadsheetml/2006/main" count="627" uniqueCount="277">
  <si>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</si>
  <si>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</si>
  <si>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</si>
  <si>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</si>
  <si>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</si>
  <si>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</si>
  <si>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</si>
  <si>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</si>
  <si>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</si>
  <si>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</si>
  <si>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</si>
  <si>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</si>
  <si>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</si>
  <si>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</si>
  <si>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</si>
  <si>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</si>
  <si>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</si>
  <si>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</si>
  <si>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</si>
  <si>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</si>
  <si>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</si>
  <si>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</si>
  <si>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1</t>
  </si>
  <si>
    <t>Rückmeldung nach Arztbesuch am 23.01.26</t>
  </si>
  <si>
    <t>Geschlossen</t>
  </si>
  <si>
    <t>Binder, Helmut</t>
  </si>
  <si>
    <t>84036</t>
  </si>
  <si>
    <t>Landshut</t>
  </si>
  <si>
    <t>087114246121</t>
  </si>
  <si>
    <t>2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</si>
  <si>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</si>
  <si>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</si>
  <si>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</si>
  <si>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</si>
  <si>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</si>
  <si>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</si>
  <si>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</si>
  <si>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</si>
  <si>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</si>
  <si>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</si>
  <si>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</si>
  <si>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</si>
  <si>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</si>
  <si>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3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</si>
  <si>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</si>
  <si>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</si>
  <si>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</si>
  <si>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</si>
  <si>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</si>
  <si>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</si>
  <si>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</si>
  <si>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85567</t>
  </si>
  <si>
    <t>Bruck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</si>
  <si>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</si>
  <si>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</si>
  <si>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</si>
  <si>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</si>
  <si>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</si>
  <si>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</si>
  <si>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</si>
  <si>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</si>
  <si>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</si>
  <si>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</si>
  <si>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</si>
  <si>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</si>
  <si>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</si>
  <si>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</si>
  <si>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</si>
  <si>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</si>
  <si>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</si>
  <si>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</si>
  <si>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</si>
  <si>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</si>
  <si>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</si>
  <si>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Garching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</si>
  <si>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</si>
  <si>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</si>
  <si>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</si>
  <si>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</si>
  <si>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</si>
  <si>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</si>
  <si>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</si>
  <si>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</si>
  <si>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</si>
  <si>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</si>
  <si>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Moosburg an der Isar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</si>
  <si>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</si>
  <si>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</si>
  <si>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</si>
  <si>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</si>
  <si>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</si>
  <si>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</si>
  <si>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</si>
  <si>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</si>
  <si>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</si>
  <si>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</si>
  <si>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</si>
  <si>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</si>
  <si>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</si>
  <si>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</si>
  <si>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</si>
  <si>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</si>
  <si>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</si>
  <si>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</si>
  <si>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</si>
  <si>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</si>
  <si>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84174</t>
  </si>
  <si>
    <t>Eching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</si>
  <si>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</si>
  <si>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</si>
  <si>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</si>
  <si>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</si>
  <si>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</si>
  <si>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</si>
  <si>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</si>
  <si>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</si>
  <si>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</si>
  <si>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</si>
  <si>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</si>
  <si>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</si>
  <si>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</si>
  <si>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</si>
  <si>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</si>
  <si>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</si>
  <si>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</si>
  <si>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</si>
  <si>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</si>
  <si>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</si>
  <si>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</si>
  <si>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</si>
  <si>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</si>
  <si>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</si>
  <si>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</si>
  <si>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</si>
  <si>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</si>
  <si>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</si>
  <si>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</si>
  <si>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</si>
  <si>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</si>
  <si>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</si>
  <si>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</si>
  <si>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</si>
  <si>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</si>
  <si>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4</t>
  </si>
  <si>
    <t>Doppleter Lead</t>
  </si>
  <si>
    <t xml:space="preserve">Müller, Susanna </t>
  </si>
  <si>
    <t>Taufkirchen Vils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</si>
  <si>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</si>
  <si>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</si>
  <si>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</si>
  <si>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</si>
  <si>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</si>
  <si>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</si>
  <si>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</si>
  <si>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</si>
  <si>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</si>
  <si>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</si>
  <si>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</si>
  <si>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Neufahrn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</si>
  <si>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</si>
  <si>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</si>
  <si>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</si>
  <si>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</si>
  <si>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</si>
  <si>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</si>
  <si>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</si>
  <si>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</si>
  <si>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</si>
  <si>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</si>
  <si>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</si>
  <si>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</si>
  <si>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0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</si>
  <si>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</si>
  <si>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</si>
  <si>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</si>
  <si>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</si>
  <si>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</si>
  <si>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</si>
  <si>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</si>
  <si>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</si>
  <si>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</si>
  <si>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</si>
  <si>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</si>
  <si>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</si>
  <si>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</si>
  <si>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</si>
  <si>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</si>
  <si>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</si>
  <si>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</si>
  <si>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</si>
  <si>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</si>
  <si>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</si>
  <si>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</si>
  <si>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</si>
  <si>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</si>
  <si>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</si>
  <si>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</si>
  <si>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</si>
  <si>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</si>
  <si>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</si>
  <si>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</si>
  <si>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</si>
  <si>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</si>
  <si>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</si>
  <si>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</si>
  <si>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</si>
  <si>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</si>
  <si>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</si>
  <si>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</si>
  <si>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</si>
  <si>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</si>
  <si>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</si>
  <si>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</si>
  <si>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</si>
  <si>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</si>
  <si>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</si>
  <si>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</si>
  <si>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</si>
  <si>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</si>
  <si>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</si>
  <si>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</si>
  <si>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Glonn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</si>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</sst>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12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 vertical="center"/>
    </xf>
    <xf numFmtId="0" fontId="3" fillId="0" borderId="0" xfId="0" applyFont="1"/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4" borderId="0" xfId="0" applyFont="1" applyFill="1" applyAlignment="1">
      <alignment vertical="center"/>
    </xf>
    <xf numFmtId="0" fontId="3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right"/>
    </xf>
    <xf numFmtId="0" fontId="3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166" fontId="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2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/>
    <xf numFmtId="49" fontId="3" fillId="0" borderId="0" xfId="0" applyNumberFormat="1" applyFont="1" applyAlignment="1">
      <alignment horizontal="right" vertical="center"/>
    </xf>
    <xf numFmtId="0" fontId="3" fillId="3" borderId="0" xfId="0" applyFont="1" applyFill="1" applyAlignment="1">
      <alignment vertical="center"/>
    </xf>
    <xf numFmtId="17" fontId="1" fillId="0" borderId="0" xfId="0" applyNumberFormat="1" applyFont="1" applyAlignment="1">
      <alignment horizontal="left" vertical="center"/>
    </xf>
    <xf numFmtId="49" fontId="8" fillId="0" borderId="0" xfId="0" applyNumberFormat="1" applyFont="1"/>
    <xf numFmtId="0" fontId="8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9" fontId="8" fillId="0" borderId="0" xfId="0" applyNumberFormat="1" applyFont="1" applyAlignment="1">
      <alignment horizontal="center"/>
    </xf>
    <xf numFmtId="0" fontId="9" fillId="0" borderId="0" xfId="0" applyFont="1"/>
    <xf numFmtId="164" fontId="9" fillId="0" borderId="0" xfId="0" applyNumberFormat="1" applyFont="1" applyAlignment="1">
      <alignment horizontal="right"/>
    </xf>
    <xf numFmtId="49" fontId="10" fillId="0" borderId="0" xfId="1" applyNumberFormat="1" applyFont="1" applyFill="1" applyBorder="1"/>
    <xf numFmtId="14" fontId="8" fillId="0" borderId="0" xfId="0" applyNumberFormat="1" applyFont="1"/>
    <xf numFmtId="49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7" fontId="9" fillId="0" borderId="0" xfId="0" applyNumberFormat="1" applyFont="1" applyAlignment="1">
      <alignment horizontal="right"/>
    </xf>
    <xf numFmtId="14" fontId="9" fillId="0" borderId="0" xfId="0" applyNumberFormat="1" applyFont="1"/>
    <xf numFmtId="0" fontId="8" fillId="0" borderId="0" xfId="0" applyFont="1" applyAlignment="1">
      <alignment wrapText="1"/>
    </xf>
    <xf numFmtId="165" fontId="8" fillId="0" borderId="0" xfId="0" applyNumberFormat="1" applyFont="1" applyAlignment="1">
      <alignment horizontal="right"/>
    </xf>
    <xf numFmtId="49" fontId="11" fillId="0" borderId="0" xfId="0" applyNumberFormat="1" applyFont="1"/>
    <xf numFmtId="0" fontId="11" fillId="0" borderId="0" xfId="0" applyFont="1" applyAlignment="1">
      <alignment horizontal="left"/>
    </xf>
    <xf numFmtId="49" fontId="11" fillId="0" borderId="0" xfId="0" applyNumberFormat="1" applyFont="1" applyAlignment="1">
      <alignment horizontal="left"/>
    </xf>
    <xf numFmtId="0" fontId="11" fillId="0" borderId="0" xfId="0" applyFont="1"/>
    <xf numFmtId="49" fontId="11" fillId="0" borderId="0" xfId="0" applyNumberFormat="1" applyFont="1" applyAlignment="1">
      <alignment horizontal="center"/>
    </xf>
  </cellXfs>
  <cellStyles count="2">
    <cellStyle name="Link" xfId="1" builtinId="8"/>
    <cellStyle name="Standard" xfId="0" builtinId="0"/>
  </cellStyles>
  <dxfs count="66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5"/>
      <tableStyleElement type="headerRow" dxfId="64"/>
      <tableStyleElement type="firstRowStripe" dxfId="63"/>
      <tableStyleElement type="secondRowStripe" dxfId="62"/>
    </tableStyle>
    <tableStyle name="Stats-style 2" pivot="0" count="4" xr9:uid="{00000000-0011-0000-FFFF-FFFF01000000}">
      <tableStyleElement type="wholeTable" size="0" dxfId="61"/>
      <tableStyleElement type="headerRow" dxfId="60"/>
      <tableStyleElement type="firstRowStripe" dxfId="59"/>
      <tableStyleElement type="secondRowStripe" dxfId="58"/>
    </tableStyle>
    <tableStyle name="Stats-style 3" pivot="0" count="4" xr9:uid="{00000000-0011-0000-FFFF-FFFF02000000}">
      <tableStyleElement type="wholeTable" size="0" dxfId="57"/>
      <tableStyleElement type="headerRow" dxfId="56"/>
      <tableStyleElement type="firstRowStripe" dxfId="55"/>
      <tableStyleElement type="secondRowStripe" dxfId="54"/>
    </tableStyle>
    <tableStyle name="Stats-style 4" pivot="0" count="4" xr9:uid="{00000000-0011-0000-FFFF-FFFF03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5" pivot="0" count="4" xr9:uid="{00000000-0011-0000-FFFF-FFFF04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6" pivot="0" count="4" xr9:uid="{00000000-0011-0000-FFFF-FFFF05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7" pivot="0" count="4" xr9:uid="{00000000-0011-0000-FFFF-FFFF06000000}">
      <tableStyleElement type="wholeTable" size="0" dxfId="41"/>
      <tableStyleElement type="headerRow" dxfId="40"/>
      <tableStyleElement type="firstRowStripe" dxfId="39"/>
      <tableStyleElement type="secondRowStripe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1428750</xdr:colOff>
      <xdr:row>0</xdr:row>
      <xdr:rowOff>155515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428750" y="155515"/>
          <a:ext cx="1100667" cy="28163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37" dataDxfId="36" tableBorderDxfId="35">
  <autoFilter ref="A4:S67" xr:uid="{DBDE1326-AD2B-334A-8E6B-55BB76C774E7}"/>
  <tableColumns count="19">
    <tableColumn id="1" xr3:uid="{A92F7756-79EE-0146-AFFB-86CD6FD71397}" name="Monat Lead erhalten" dataDxfId="34"/>
    <tableColumn id="2" xr3:uid="{5B9FF2F1-FDB3-444F-918F-09627F012F56}" name="Status" dataDxfId="33"/>
    <tableColumn id="3" xr3:uid="{365ED7F6-1C60-5349-9428-E91FC5A8DCF6}" name="Lead-Quelle" dataDxfId="32"/>
    <tableColumn id="4" xr3:uid="{2692E670-BB12-0E45-B62D-48FC8F0D8A96}" name="Name" dataDxfId="31"/>
    <tableColumn id="5" xr3:uid="{CB839717-944D-8A48-B3CD-0B2CA9123A76}" name="Adresse" dataDxfId="30"/>
    <tableColumn id="6" xr3:uid="{BFFF1F87-0C0C-BE46-808F-3AA4DC4957D6}" name="PLZ" dataDxfId="29"/>
    <tableColumn id="7" xr3:uid="{B7C7EDFF-4F7F-1D45-AC5D-3BB90ABEF2F8}" name="Ort" dataDxfId="28"/>
    <tableColumn id="8" xr3:uid="{E7760CB8-FFA4-BD40-A1E5-FA188F8E5F8F}" name="Telefonnummer" dataDxfId="27"/>
    <tableColumn id="9" xr3:uid="{9FCAE85B-421F-BD43-AC3E-F3237B5E7636}" name="PG" dataDxfId="26"/>
    <tableColumn id="10" xr3:uid="{8F6A6D8A-D9F8-0744-BAE9-1D603436C155}" name="Letzter Kontakt" dataDxfId="25"/>
    <tableColumn id="11" xr3:uid="{A2045C30-1195-C943-9842-F1EEA9F34438}" name="Nächster Kontakt" dataDxfId="24"/>
    <tableColumn id="12" xr3:uid="{BE31FF99-12EB-6340-9156-6D94B1B7BE94}" name="Notizen" dataDxfId="23"/>
    <tableColumn id="13" xr3:uid="{FFBFAA09-C96E-314F-A5B9-FE2BD7219F4A}" name="Abschluss" dataDxfId="22"/>
    <tableColumn id="14" xr3:uid="{B9F9ADBB-B5B1-B647-8307-75AE3D1353A4}" name="Abgesprungen nach" dataDxfId="21"/>
    <tableColumn id="15" xr3:uid="{90B24919-0D98-3647-ABDB-A0B14C181ED5}" name="Grund zum Absprung" dataDxfId="20"/>
    <tableColumn id="16" xr3:uid="{267654FA-B2E0-734B-AB97-DD03C87654F6}" name="Learning" dataDxfId="19"/>
    <tableColumn id="17" xr3:uid="{A70C44F0-D6C5-6344-A9CF-C1E02B1DFE3D}" name="Reklamierung Verbund:" dataDxfId="18"/>
    <tableColumn id="18" xr3:uid="{824EBA94-D625-2D4A-B97B-11B1F32437CE}" name="Spend" dataDxfId="17"/>
    <tableColumn id="19" xr3:uid="{A4FDE41C-A509-264E-A5C5-C323A23EE97A}" name="Leadtyp" dataDxfId="16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5">
      <calculatedColumnFormula>SUM(B8:G8)</calculatedColumnFormula>
    </tableColumn>
  </tableColumns>
  <tableStyleInfo name="Stats-style 2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/>
  </tableColumns>
  <tableStyleInfo name="Stats-style 5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4:Y1001"/>
  <sheetViews>
    <sheetView showGridLines="0" tabSelected="1" zoomScale="120" zoomScaleNormal="120" workbookViewId="0">
      <pane xSplit="4" ySplit="4" topLeftCell="E5" activePane="bottomRight" state="frozen"/>
      <selection pane="topRight" activeCell="E1" sqref="E1"/>
      <selection pane="bottomLeft" activeCell="A2" sqref="A2"/>
      <selection pane="bottomRight" activeCell="B87" sqref="B87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16.6640625" style="30" bestFit="1" customWidth="1"/>
    <col min="4" max="4" width="22.5" style="30" bestFit="1" customWidth="1"/>
    <col min="5" max="5" width="27.6640625" style="27" customWidth="1"/>
    <col min="6" max="6" width="8.83203125" style="27" customWidth="1"/>
    <col min="7" max="7" width="27.6640625" style="2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58.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4" spans="1:25" s="44" customFormat="1" ht="15.75" customHeight="1" x14ac:dyDescent="0.15">
      <c r="A4" s="41" t="s">
        <v>0</v>
      </c>
      <c r="B4" s="44" t="s">
        <v>1</v>
      </c>
      <c r="C4" s="44" t="s">
        <v>2</v>
      </c>
      <c r="D4" s="41" t="s">
        <v>3</v>
      </c>
      <c r="E4" s="42" t="s">
        <v>4</v>
      </c>
      <c r="F4" s="42" t="s">
        <v>5</v>
      </c>
      <c r="G4" s="42" t="s">
        <v>6</v>
      </c>
      <c r="H4" s="43" t="s">
        <v>7</v>
      </c>
      <c r="I4" s="45" t="s">
        <v>8</v>
      </c>
      <c r="J4" s="44" t="s">
        <v>9</v>
      </c>
      <c r="K4" s="44" t="s">
        <v>10</v>
      </c>
      <c r="L4" s="44" t="s">
        <v>11</v>
      </c>
      <c r="M4" s="44" t="s">
        <v>12</v>
      </c>
      <c r="N4" s="44" t="s">
        <v>13</v>
      </c>
      <c r="O4" s="44" t="s">
        <v>14</v>
      </c>
      <c r="P4" s="44" t="s">
        <v>15</v>
      </c>
      <c r="Q4" s="44" t="s">
        <v>276</v>
      </c>
      <c r="R4" s="44" t="s">
        <v>16</v>
      </c>
      <c r="S4" s="44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H5" s="32" t="s">
        <v>21</v>
      </c>
      <c r="I5" s="29" t="s">
        <v>22</v>
      </c>
      <c r="J5" s="33">
        <v>46044</v>
      </c>
      <c r="K5" s="33">
        <v>46045</v>
      </c>
      <c r="L5" s="25" t="s">
        <v>23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24</v>
      </c>
      <c r="C6" s="30" t="s">
        <v>19</v>
      </c>
      <c r="D6" s="26" t="s">
        <v>25</v>
      </c>
      <c r="F6" s="28" t="s">
        <v>26</v>
      </c>
      <c r="G6" s="28" t="s">
        <v>27</v>
      </c>
      <c r="H6" s="28" t="s">
        <v>28</v>
      </c>
      <c r="I6" s="34" t="s">
        <v>29</v>
      </c>
      <c r="J6" s="40">
        <v>46027</v>
      </c>
      <c r="M6" s="30" t="s">
        <v>30</v>
      </c>
      <c r="N6" s="30" t="s">
        <v>31</v>
      </c>
      <c r="O6" s="30" t="s">
        <v>32</v>
      </c>
      <c r="P6" s="30" t="s">
        <v>33</v>
      </c>
      <c r="Q6" s="30" t="s">
        <v>34</v>
      </c>
      <c r="R6" s="36"/>
    </row>
    <row r="7" spans="1:25" ht="15.75" customHeight="1" x14ac:dyDescent="0.15">
      <c r="A7" s="31">
        <v>46034</v>
      </c>
      <c r="B7" s="30" t="s">
        <v>24</v>
      </c>
      <c r="C7" s="30" t="s">
        <v>19</v>
      </c>
      <c r="D7" s="26" t="s">
        <v>35</v>
      </c>
      <c r="F7" s="27">
        <v>85354</v>
      </c>
      <c r="G7" s="27" t="s">
        <v>36</v>
      </c>
      <c r="H7" s="28" t="s">
        <v>37</v>
      </c>
      <c r="I7" s="29" t="s">
        <v>22</v>
      </c>
      <c r="J7" s="33">
        <v>46037</v>
      </c>
      <c r="K7" s="33" t="s">
        <v>38</v>
      </c>
      <c r="L7" s="25"/>
      <c r="M7" s="30" t="s">
        <v>39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24</v>
      </c>
      <c r="C8" s="30" t="s">
        <v>19</v>
      </c>
      <c r="D8" s="26" t="s">
        <v>40</v>
      </c>
      <c r="F8" s="27">
        <v>85586</v>
      </c>
      <c r="G8" s="27" t="s">
        <v>41</v>
      </c>
      <c r="H8" s="28" t="s">
        <v>42</v>
      </c>
      <c r="I8" s="29" t="s">
        <v>43</v>
      </c>
      <c r="J8" s="33">
        <v>46029</v>
      </c>
      <c r="K8" s="25"/>
      <c r="L8" s="25" t="s">
        <v>44</v>
      </c>
      <c r="M8" s="30" t="s">
        <v>30</v>
      </c>
      <c r="N8" s="30" t="s">
        <v>31</v>
      </c>
      <c r="O8" s="25" t="s">
        <v>45</v>
      </c>
      <c r="P8" s="25"/>
      <c r="Q8" s="25" t="s">
        <v>34</v>
      </c>
      <c r="R8" s="25"/>
    </row>
    <row r="9" spans="1:25" ht="15.75" customHeight="1" x14ac:dyDescent="0.15">
      <c r="A9" s="31">
        <v>46043</v>
      </c>
      <c r="B9" s="30" t="s">
        <v>46</v>
      </c>
      <c r="C9" s="30" t="s">
        <v>19</v>
      </c>
      <c r="D9" s="26" t="s">
        <v>47</v>
      </c>
      <c r="F9" s="27">
        <v>85354</v>
      </c>
      <c r="G9" s="27" t="s">
        <v>36</v>
      </c>
      <c r="H9" s="28" t="s">
        <v>48</v>
      </c>
      <c r="I9" s="29" t="s">
        <v>29</v>
      </c>
      <c r="J9" s="25"/>
      <c r="K9" s="25"/>
      <c r="L9" s="25"/>
      <c r="M9" s="25"/>
      <c r="O9" s="25"/>
      <c r="P9" s="25"/>
      <c r="Q9" s="25"/>
      <c r="R9" s="25"/>
      <c r="S9" s="30" t="s">
        <v>49</v>
      </c>
    </row>
    <row r="10" spans="1:25" ht="15.75" customHeight="1" x14ac:dyDescent="0.15">
      <c r="A10" s="31">
        <v>46024</v>
      </c>
      <c r="B10" s="30" t="s">
        <v>24</v>
      </c>
      <c r="C10" s="30" t="s">
        <v>19</v>
      </c>
      <c r="D10" s="26" t="s">
        <v>50</v>
      </c>
      <c r="F10" s="28" t="s">
        <v>51</v>
      </c>
      <c r="G10" s="28" t="s">
        <v>52</v>
      </c>
      <c r="H10" s="28" t="s">
        <v>53</v>
      </c>
      <c r="I10" s="34" t="s">
        <v>43</v>
      </c>
      <c r="J10" s="40">
        <v>46024</v>
      </c>
      <c r="K10" s="35"/>
      <c r="M10" s="30" t="s">
        <v>30</v>
      </c>
      <c r="N10" s="30" t="s">
        <v>31</v>
      </c>
      <c r="O10" s="30" t="s">
        <v>54</v>
      </c>
      <c r="Q10" s="30" t="s">
        <v>34</v>
      </c>
      <c r="R10" s="37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46</v>
      </c>
      <c r="C11" s="30" t="s">
        <v>19</v>
      </c>
      <c r="D11" s="26" t="s">
        <v>55</v>
      </c>
      <c r="F11" s="27">
        <v>84144</v>
      </c>
      <c r="G11" s="27" t="s">
        <v>56</v>
      </c>
      <c r="H11" s="28" t="s">
        <v>57</v>
      </c>
      <c r="I11" s="29" t="s">
        <v>43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24</v>
      </c>
      <c r="C12" s="30" t="s">
        <v>19</v>
      </c>
      <c r="D12" s="26" t="s">
        <v>58</v>
      </c>
      <c r="F12" s="27">
        <v>83135</v>
      </c>
      <c r="G12" s="27" t="s">
        <v>59</v>
      </c>
      <c r="H12" s="28" t="s">
        <v>60</v>
      </c>
      <c r="I12" s="29" t="s">
        <v>29</v>
      </c>
      <c r="J12" s="33">
        <v>46044</v>
      </c>
      <c r="K12" s="25"/>
      <c r="L12" s="25" t="s">
        <v>61</v>
      </c>
      <c r="M12" s="30" t="s">
        <v>30</v>
      </c>
      <c r="N12" s="25" t="s">
        <v>31</v>
      </c>
      <c r="O12" s="25" t="s">
        <v>61</v>
      </c>
      <c r="P12" s="25"/>
      <c r="Q12" s="25" t="s">
        <v>39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24</v>
      </c>
      <c r="C13" s="30" t="s">
        <v>62</v>
      </c>
      <c r="D13" s="26" t="s">
        <v>63</v>
      </c>
      <c r="F13" s="27">
        <v>85435</v>
      </c>
      <c r="H13" s="28" t="s">
        <v>64</v>
      </c>
      <c r="I13" s="29" t="s">
        <v>29</v>
      </c>
      <c r="J13" s="33">
        <v>46031</v>
      </c>
      <c r="K13" s="33"/>
      <c r="L13" s="25"/>
      <c r="M13" s="30" t="s">
        <v>30</v>
      </c>
      <c r="N13" s="30" t="s">
        <v>65</v>
      </c>
      <c r="O13" s="25" t="s">
        <v>66</v>
      </c>
      <c r="P13" s="25"/>
      <c r="Q13" s="25" t="s">
        <v>67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24</v>
      </c>
      <c r="C14" s="30" t="s">
        <v>19</v>
      </c>
      <c r="D14" s="26" t="s">
        <v>68</v>
      </c>
      <c r="E14" s="27" t="s">
        <v>69</v>
      </c>
      <c r="F14" s="27">
        <v>85356</v>
      </c>
      <c r="G14" s="27" t="s">
        <v>70</v>
      </c>
      <c r="H14" s="28" t="s">
        <v>71</v>
      </c>
      <c r="I14" s="29" t="s">
        <v>43</v>
      </c>
      <c r="J14" s="33">
        <v>46034</v>
      </c>
      <c r="K14" s="25"/>
      <c r="L14" s="25"/>
      <c r="M14" s="30" t="s">
        <v>30</v>
      </c>
      <c r="N14" s="30" t="s">
        <v>65</v>
      </c>
      <c r="O14" s="25" t="s">
        <v>72</v>
      </c>
      <c r="P14" s="25"/>
      <c r="Q14" s="25" t="s">
        <v>34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65</v>
      </c>
      <c r="C15" s="30" t="s">
        <v>19</v>
      </c>
      <c r="D15" s="26" t="s">
        <v>73</v>
      </c>
      <c r="F15" s="27">
        <v>85748</v>
      </c>
      <c r="G15" s="27" t="s">
        <v>74</v>
      </c>
      <c r="H15" s="28" t="s">
        <v>75</v>
      </c>
      <c r="I15" s="29" t="s">
        <v>29</v>
      </c>
      <c r="J15" s="33">
        <v>46037</v>
      </c>
      <c r="K15" s="33">
        <v>46043</v>
      </c>
      <c r="L15" s="25"/>
      <c r="M15" s="30" t="s">
        <v>76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77</v>
      </c>
      <c r="C16" s="30" t="s">
        <v>19</v>
      </c>
      <c r="D16" s="26" t="s">
        <v>78</v>
      </c>
      <c r="F16" s="27">
        <v>85521</v>
      </c>
      <c r="G16" s="27" t="s">
        <v>79</v>
      </c>
      <c r="H16" s="28" t="s">
        <v>80</v>
      </c>
      <c r="I16" s="29" t="s">
        <v>29</v>
      </c>
      <c r="J16" s="33">
        <v>46042</v>
      </c>
      <c r="K16" s="33">
        <v>46043</v>
      </c>
      <c r="L16" s="25"/>
      <c r="M16" s="30" t="s">
        <v>76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46</v>
      </c>
      <c r="C17" s="30" t="s">
        <v>19</v>
      </c>
      <c r="D17" s="26" t="s">
        <v>81</v>
      </c>
      <c r="F17" s="27">
        <v>85395</v>
      </c>
      <c r="G17" s="27" t="s">
        <v>82</v>
      </c>
      <c r="H17" s="28" t="s">
        <v>83</v>
      </c>
      <c r="I17" s="29" t="s">
        <v>43</v>
      </c>
      <c r="J17" s="25"/>
      <c r="K17" s="25"/>
      <c r="L17" s="25"/>
      <c r="M17" s="30" t="s">
        <v>76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46</v>
      </c>
      <c r="C18" s="30" t="s">
        <v>19</v>
      </c>
      <c r="D18" s="26" t="s">
        <v>84</v>
      </c>
      <c r="F18" s="27">
        <v>85368</v>
      </c>
      <c r="G18" s="27" t="s">
        <v>85</v>
      </c>
      <c r="H18" s="28" t="s">
        <v>86</v>
      </c>
      <c r="I18" s="29" t="s">
        <v>29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46</v>
      </c>
      <c r="C19" s="30" t="s">
        <v>62</v>
      </c>
      <c r="D19" s="26" t="s">
        <v>87</v>
      </c>
      <c r="F19" s="27">
        <v>85667</v>
      </c>
      <c r="H19" s="28" t="s">
        <v>88</v>
      </c>
      <c r="I19" s="29" t="s">
        <v>29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65</v>
      </c>
      <c r="C20" s="30" t="s">
        <v>19</v>
      </c>
      <c r="D20" s="26" t="s">
        <v>89</v>
      </c>
      <c r="F20" s="27">
        <v>85395</v>
      </c>
      <c r="G20" s="27" t="s">
        <v>82</v>
      </c>
      <c r="H20" s="28" t="s">
        <v>90</v>
      </c>
      <c r="I20" s="29" t="s">
        <v>43</v>
      </c>
      <c r="J20" s="33">
        <v>46042</v>
      </c>
      <c r="K20" s="33"/>
      <c r="L20" s="25" t="s">
        <v>91</v>
      </c>
      <c r="M20" s="30" t="s">
        <v>76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24</v>
      </c>
      <c r="C21" s="30" t="s">
        <v>62</v>
      </c>
      <c r="D21" s="26" t="s">
        <v>92</v>
      </c>
      <c r="F21" s="27">
        <v>84405</v>
      </c>
      <c r="G21" s="27" t="s">
        <v>93</v>
      </c>
      <c r="H21" s="28" t="s">
        <v>94</v>
      </c>
      <c r="I21" s="29" t="s">
        <v>29</v>
      </c>
      <c r="J21" s="33">
        <v>46042</v>
      </c>
      <c r="K21" s="25"/>
      <c r="L21" s="25"/>
      <c r="M21" s="30" t="s">
        <v>95</v>
      </c>
      <c r="O21" s="25" t="s">
        <v>96</v>
      </c>
      <c r="P21" s="25"/>
      <c r="Q21" s="25" t="s">
        <v>34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77</v>
      </c>
      <c r="C22" s="30" t="s">
        <v>19</v>
      </c>
      <c r="D22" s="26" t="s">
        <v>92</v>
      </c>
      <c r="F22" s="27">
        <v>84405</v>
      </c>
      <c r="G22" s="27" t="s">
        <v>93</v>
      </c>
      <c r="H22" s="28" t="s">
        <v>94</v>
      </c>
      <c r="I22" s="29" t="s">
        <v>29</v>
      </c>
      <c r="J22" s="33">
        <v>46042</v>
      </c>
      <c r="K22" s="33">
        <v>46043</v>
      </c>
      <c r="L22" s="25" t="s">
        <v>97</v>
      </c>
      <c r="M22" s="30" t="s">
        <v>76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24</v>
      </c>
      <c r="C23" s="30" t="s">
        <v>98</v>
      </c>
      <c r="D23" s="26" t="s">
        <v>99</v>
      </c>
      <c r="G23" s="27" t="s">
        <v>27</v>
      </c>
      <c r="H23" s="28"/>
      <c r="I23" s="29" t="s">
        <v>29</v>
      </c>
      <c r="J23" s="33">
        <v>46035</v>
      </c>
      <c r="K23" s="25"/>
      <c r="L23" s="25"/>
      <c r="M23" s="30" t="s">
        <v>39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24</v>
      </c>
      <c r="C24" s="30" t="s">
        <v>19</v>
      </c>
      <c r="D24" s="26" t="s">
        <v>100</v>
      </c>
      <c r="F24" s="27">
        <v>85521</v>
      </c>
      <c r="G24" s="27" t="s">
        <v>79</v>
      </c>
      <c r="H24" s="28" t="s">
        <v>101</v>
      </c>
      <c r="I24" s="29" t="s">
        <v>43</v>
      </c>
      <c r="J24" s="33">
        <v>46037</v>
      </c>
      <c r="K24" s="33"/>
      <c r="L24" s="25" t="s">
        <v>102</v>
      </c>
      <c r="M24" s="30" t="s">
        <v>30</v>
      </c>
      <c r="N24" s="30" t="s">
        <v>31</v>
      </c>
      <c r="O24" s="25" t="s">
        <v>103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24</v>
      </c>
      <c r="C25" s="30" t="s">
        <v>19</v>
      </c>
      <c r="D25" s="26" t="s">
        <v>104</v>
      </c>
      <c r="E25" s="27" t="s">
        <v>105</v>
      </c>
      <c r="F25" s="28" t="s">
        <v>106</v>
      </c>
      <c r="G25" s="28" t="s">
        <v>107</v>
      </c>
      <c r="H25" s="28" t="s">
        <v>108</v>
      </c>
      <c r="I25" s="34" t="s">
        <v>29</v>
      </c>
      <c r="J25" s="40">
        <v>46031</v>
      </c>
      <c r="K25" s="38"/>
      <c r="M25" s="30" t="s">
        <v>39</v>
      </c>
      <c r="R25" s="36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46</v>
      </c>
      <c r="C26" s="30" t="s">
        <v>19</v>
      </c>
      <c r="D26" s="26" t="s">
        <v>109</v>
      </c>
      <c r="F26" s="27">
        <v>80636</v>
      </c>
      <c r="G26" s="27" t="s">
        <v>110</v>
      </c>
      <c r="H26" s="28" t="s">
        <v>111</v>
      </c>
      <c r="I26" s="29" t="s">
        <v>22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24</v>
      </c>
      <c r="C27" s="30" t="s">
        <v>62</v>
      </c>
      <c r="D27" s="26" t="s">
        <v>112</v>
      </c>
      <c r="F27" s="27">
        <v>85586</v>
      </c>
      <c r="H27" s="28" t="s">
        <v>113</v>
      </c>
      <c r="I27" s="29" t="s">
        <v>22</v>
      </c>
      <c r="J27" s="33">
        <v>46031</v>
      </c>
      <c r="K27" s="25"/>
      <c r="L27" s="25" t="s">
        <v>114</v>
      </c>
      <c r="M27" s="30" t="s">
        <v>30</v>
      </c>
      <c r="N27" s="30" t="s">
        <v>31</v>
      </c>
      <c r="O27" s="25" t="s">
        <v>115</v>
      </c>
      <c r="P27" s="25"/>
      <c r="Q27" s="25" t="s">
        <v>34</v>
      </c>
      <c r="R27" s="25"/>
      <c r="S27" s="25" t="s">
        <v>116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117</v>
      </c>
      <c r="F28" s="27">
        <v>84034</v>
      </c>
      <c r="G28" s="27" t="s">
        <v>27</v>
      </c>
      <c r="H28" s="28" t="s">
        <v>118</v>
      </c>
      <c r="I28" s="29" t="s">
        <v>29</v>
      </c>
      <c r="J28" s="33">
        <v>46031</v>
      </c>
      <c r="K28" s="33">
        <v>46053</v>
      </c>
      <c r="L28" s="39" t="s">
        <v>119</v>
      </c>
      <c r="M28" s="30" t="s">
        <v>76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24</v>
      </c>
      <c r="C29" s="30" t="s">
        <v>19</v>
      </c>
      <c r="D29" s="26" t="s">
        <v>120</v>
      </c>
      <c r="F29" s="30">
        <v>85413</v>
      </c>
      <c r="G29" s="30" t="s">
        <v>121</v>
      </c>
      <c r="H29" s="26" t="s">
        <v>122</v>
      </c>
      <c r="I29" s="29" t="s">
        <v>29</v>
      </c>
      <c r="J29" s="33">
        <v>46044</v>
      </c>
      <c r="K29" s="25"/>
      <c r="L29" s="25"/>
      <c r="M29" s="25" t="s">
        <v>30</v>
      </c>
      <c r="N29" s="25"/>
      <c r="O29" s="25" t="s">
        <v>123</v>
      </c>
      <c r="P29" s="25"/>
      <c r="Q29" s="25" t="s">
        <v>39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24</v>
      </c>
      <c r="C30" s="30" t="s">
        <v>19</v>
      </c>
      <c r="D30" s="26" t="s">
        <v>124</v>
      </c>
      <c r="F30" s="27">
        <v>85652</v>
      </c>
      <c r="G30" s="27" t="s">
        <v>125</v>
      </c>
      <c r="H30" s="28" t="s">
        <v>126</v>
      </c>
      <c r="I30" s="29" t="s">
        <v>29</v>
      </c>
      <c r="J30" s="33">
        <v>46027</v>
      </c>
      <c r="K30" s="25"/>
      <c r="L30" s="25"/>
      <c r="M30" s="30" t="s">
        <v>30</v>
      </c>
      <c r="N30" s="30" t="s">
        <v>31</v>
      </c>
      <c r="O30" s="25" t="s">
        <v>127</v>
      </c>
      <c r="P30" s="25"/>
      <c r="Q30" s="25" t="s">
        <v>34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24</v>
      </c>
      <c r="C31" s="30" t="s">
        <v>62</v>
      </c>
      <c r="D31" s="26" t="s">
        <v>128</v>
      </c>
      <c r="F31" s="27">
        <v>85774</v>
      </c>
      <c r="G31" s="27" t="s">
        <v>129</v>
      </c>
      <c r="H31" s="28" t="s">
        <v>130</v>
      </c>
      <c r="I31" s="29" t="s">
        <v>22</v>
      </c>
      <c r="J31" s="33">
        <v>46034</v>
      </c>
      <c r="K31" s="25"/>
      <c r="L31" s="25" t="s">
        <v>131</v>
      </c>
      <c r="M31" s="30" t="s">
        <v>39</v>
      </c>
      <c r="O31" s="25"/>
      <c r="P31" s="25"/>
      <c r="Q31" s="25"/>
      <c r="R31" s="25"/>
      <c r="S31" s="25" t="s">
        <v>49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24</v>
      </c>
      <c r="C32" s="30" t="s">
        <v>62</v>
      </c>
      <c r="D32" s="26" t="s">
        <v>132</v>
      </c>
      <c r="F32" s="27">
        <v>84036</v>
      </c>
      <c r="H32" s="28" t="s">
        <v>133</v>
      </c>
      <c r="I32" s="29" t="s">
        <v>43</v>
      </c>
      <c r="J32" s="25"/>
      <c r="K32" s="25"/>
      <c r="L32" s="25"/>
      <c r="M32" s="30" t="s">
        <v>30</v>
      </c>
      <c r="N32" s="30" t="s">
        <v>31</v>
      </c>
      <c r="O32" s="25" t="s">
        <v>134</v>
      </c>
      <c r="P32" s="25"/>
      <c r="Q32" s="25" t="s">
        <v>67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24</v>
      </c>
      <c r="C33" s="30" t="s">
        <v>19</v>
      </c>
      <c r="D33" s="26" t="s">
        <v>135</v>
      </c>
      <c r="E33" s="27" t="s">
        <v>136</v>
      </c>
      <c r="F33" s="28" t="s">
        <v>137</v>
      </c>
      <c r="G33" s="28" t="s">
        <v>110</v>
      </c>
      <c r="H33" s="28" t="s">
        <v>138</v>
      </c>
      <c r="I33" s="34" t="s">
        <v>29</v>
      </c>
      <c r="J33" s="40">
        <v>46027</v>
      </c>
      <c r="M33" s="30" t="s">
        <v>39</v>
      </c>
      <c r="R33" s="36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46</v>
      </c>
      <c r="C34" s="30" t="s">
        <v>62</v>
      </c>
      <c r="D34" s="26" t="s">
        <v>139</v>
      </c>
      <c r="F34" s="27">
        <v>85567</v>
      </c>
      <c r="H34" s="28" t="s">
        <v>140</v>
      </c>
      <c r="I34" s="29" t="s">
        <v>43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24</v>
      </c>
      <c r="C35" s="30" t="s">
        <v>62</v>
      </c>
      <c r="D35" s="26" t="s">
        <v>141</v>
      </c>
      <c r="F35" s="27">
        <v>84416</v>
      </c>
      <c r="H35" s="28" t="s">
        <v>142</v>
      </c>
      <c r="I35" s="29" t="s">
        <v>143</v>
      </c>
      <c r="J35" s="25"/>
      <c r="K35" s="25"/>
      <c r="L35" s="25" t="s">
        <v>144</v>
      </c>
      <c r="M35" s="30" t="s">
        <v>30</v>
      </c>
      <c r="O35" s="25" t="s">
        <v>144</v>
      </c>
      <c r="P35" s="25"/>
      <c r="Q35" s="25" t="s">
        <v>34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24</v>
      </c>
      <c r="C36" s="30" t="s">
        <v>19</v>
      </c>
      <c r="D36" s="26" t="s">
        <v>145</v>
      </c>
      <c r="F36" s="27">
        <v>84416</v>
      </c>
      <c r="G36" s="27" t="s">
        <v>146</v>
      </c>
      <c r="H36" s="28" t="s">
        <v>147</v>
      </c>
      <c r="I36" s="29" t="s">
        <v>143</v>
      </c>
      <c r="J36" s="33">
        <v>46037</v>
      </c>
      <c r="K36" s="33">
        <v>46043</v>
      </c>
      <c r="L36" s="25" t="s">
        <v>148</v>
      </c>
      <c r="M36" s="30" t="s">
        <v>30</v>
      </c>
      <c r="N36" s="30" t="s">
        <v>18</v>
      </c>
      <c r="O36" s="25" t="s">
        <v>149</v>
      </c>
      <c r="P36" s="25"/>
      <c r="Q36" s="25" t="s">
        <v>34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24</v>
      </c>
      <c r="C37" s="30" t="s">
        <v>19</v>
      </c>
      <c r="D37" s="26" t="s">
        <v>150</v>
      </c>
      <c r="F37" s="27">
        <v>85560</v>
      </c>
      <c r="G37" s="27" t="s">
        <v>151</v>
      </c>
      <c r="H37" s="28" t="s">
        <v>152</v>
      </c>
      <c r="I37" s="29" t="s">
        <v>143</v>
      </c>
      <c r="J37" s="33">
        <v>46041</v>
      </c>
      <c r="K37" s="33"/>
      <c r="L37" s="25" t="s">
        <v>153</v>
      </c>
      <c r="M37" s="30" t="s">
        <v>30</v>
      </c>
      <c r="N37" s="30" t="s">
        <v>31</v>
      </c>
      <c r="O37" s="25" t="s">
        <v>154</v>
      </c>
      <c r="P37" s="25"/>
      <c r="Q37" s="25" t="s">
        <v>34</v>
      </c>
      <c r="R37" s="25"/>
      <c r="S37" s="25" t="s">
        <v>49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24</v>
      </c>
      <c r="C38" s="30" t="s">
        <v>62</v>
      </c>
      <c r="D38" s="26" t="s">
        <v>155</v>
      </c>
      <c r="F38" s="27">
        <v>84036</v>
      </c>
      <c r="H38" s="28" t="s">
        <v>156</v>
      </c>
      <c r="I38" s="29" t="s">
        <v>29</v>
      </c>
      <c r="J38" s="33">
        <v>46031</v>
      </c>
      <c r="K38" s="33"/>
      <c r="L38" s="25"/>
      <c r="M38" s="30" t="s">
        <v>39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24</v>
      </c>
      <c r="C39" s="30" t="s">
        <v>19</v>
      </c>
      <c r="D39" s="26" t="s">
        <v>157</v>
      </c>
      <c r="F39" s="27">
        <v>85375</v>
      </c>
      <c r="G39" s="27" t="s">
        <v>158</v>
      </c>
      <c r="H39" s="28" t="s">
        <v>159</v>
      </c>
      <c r="I39" s="29" t="s">
        <v>22</v>
      </c>
      <c r="J39" s="33">
        <v>46031</v>
      </c>
      <c r="K39" s="33"/>
      <c r="L39" s="25"/>
      <c r="M39" s="30" t="s">
        <v>30</v>
      </c>
      <c r="O39" s="25" t="s">
        <v>160</v>
      </c>
      <c r="P39" s="25" t="s">
        <v>33</v>
      </c>
      <c r="Q39" s="25" t="s">
        <v>39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24</v>
      </c>
      <c r="C40" s="30" t="s">
        <v>19</v>
      </c>
      <c r="D40" s="26" t="s">
        <v>161</v>
      </c>
      <c r="F40" s="27">
        <v>82008</v>
      </c>
      <c r="G40" s="27" t="s">
        <v>162</v>
      </c>
      <c r="H40" s="28" t="s">
        <v>163</v>
      </c>
      <c r="I40" s="29" t="s">
        <v>22</v>
      </c>
      <c r="J40" s="33">
        <v>46029</v>
      </c>
      <c r="K40" s="25"/>
      <c r="L40" s="25"/>
      <c r="M40" s="30" t="s">
        <v>30</v>
      </c>
      <c r="N40" s="30" t="s">
        <v>31</v>
      </c>
      <c r="O40" s="25" t="s">
        <v>72</v>
      </c>
      <c r="P40" s="25"/>
      <c r="Q40" s="25" t="s">
        <v>34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24</v>
      </c>
      <c r="C41" s="30" t="s">
        <v>19</v>
      </c>
      <c r="D41" s="26" t="s">
        <v>164</v>
      </c>
      <c r="F41" s="27">
        <v>85435</v>
      </c>
      <c r="G41" s="27" t="s">
        <v>165</v>
      </c>
      <c r="H41" s="28" t="s">
        <v>166</v>
      </c>
      <c r="I41" s="29" t="s">
        <v>22</v>
      </c>
      <c r="J41" s="33">
        <v>46027</v>
      </c>
      <c r="K41" s="33">
        <v>46054</v>
      </c>
      <c r="L41" s="25" t="s">
        <v>167</v>
      </c>
      <c r="M41" s="30" t="s">
        <v>30</v>
      </c>
      <c r="O41" s="25" t="s">
        <v>168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62</v>
      </c>
      <c r="D42" s="26" t="s">
        <v>169</v>
      </c>
      <c r="F42" s="27">
        <v>84034</v>
      </c>
      <c r="H42" s="28" t="s">
        <v>170</v>
      </c>
      <c r="I42" s="29" t="s">
        <v>171</v>
      </c>
      <c r="J42" s="33">
        <v>46031</v>
      </c>
      <c r="K42" s="33">
        <v>46043</v>
      </c>
      <c r="L42" s="25"/>
      <c r="M42" s="30" t="s">
        <v>76</v>
      </c>
      <c r="O42" s="25" t="s">
        <v>172</v>
      </c>
      <c r="P42" s="25"/>
      <c r="Q42" s="25"/>
      <c r="R42" s="25"/>
      <c r="S42" s="25" t="s">
        <v>49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24</v>
      </c>
      <c r="C43" s="30" t="s">
        <v>19</v>
      </c>
      <c r="D43" s="26" t="s">
        <v>173</v>
      </c>
      <c r="F43" s="27">
        <v>81739</v>
      </c>
      <c r="G43" s="27" t="s">
        <v>110</v>
      </c>
      <c r="H43" s="28" t="s">
        <v>174</v>
      </c>
      <c r="I43" s="29" t="s">
        <v>43</v>
      </c>
      <c r="J43" s="33">
        <v>46031</v>
      </c>
      <c r="K43" s="33"/>
      <c r="L43" s="25"/>
      <c r="M43" s="30" t="s">
        <v>30</v>
      </c>
      <c r="N43" s="30" t="s">
        <v>65</v>
      </c>
      <c r="O43" s="25" t="s">
        <v>175</v>
      </c>
      <c r="P43" s="25"/>
      <c r="Q43" s="25" t="s">
        <v>34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24</v>
      </c>
      <c r="C44" s="30" t="s">
        <v>62</v>
      </c>
      <c r="D44" s="26" t="s">
        <v>176</v>
      </c>
      <c r="F44" s="27">
        <v>85356</v>
      </c>
      <c r="H44" s="28" t="s">
        <v>177</v>
      </c>
      <c r="I44" s="29" t="s">
        <v>43</v>
      </c>
      <c r="J44" s="33">
        <v>46037</v>
      </c>
      <c r="K44" s="33">
        <v>46038</v>
      </c>
      <c r="L44" s="25"/>
      <c r="M44" s="30" t="s">
        <v>39</v>
      </c>
      <c r="O44" s="25"/>
      <c r="P44" s="25"/>
      <c r="Q44" s="25"/>
      <c r="R44" s="25"/>
      <c r="S44" s="25" t="s">
        <v>116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24</v>
      </c>
      <c r="C45" s="30" t="s">
        <v>62</v>
      </c>
      <c r="D45" s="26" t="s">
        <v>178</v>
      </c>
      <c r="F45" s="27">
        <v>85737</v>
      </c>
      <c r="G45" s="27" t="s">
        <v>179</v>
      </c>
      <c r="H45" s="28" t="s">
        <v>180</v>
      </c>
      <c r="I45" s="29" t="s">
        <v>29</v>
      </c>
      <c r="J45" s="33">
        <v>46031</v>
      </c>
      <c r="K45" s="33"/>
      <c r="L45" s="25"/>
      <c r="M45" s="30" t="s">
        <v>39</v>
      </c>
      <c r="O45" s="25"/>
      <c r="P45" s="25"/>
      <c r="Q45" s="25"/>
      <c r="R45" s="25"/>
      <c r="S45" s="25" t="s">
        <v>49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24</v>
      </c>
      <c r="C46" s="30" t="s">
        <v>62</v>
      </c>
      <c r="D46" s="26" t="s">
        <v>181</v>
      </c>
      <c r="F46" s="27">
        <v>85598</v>
      </c>
      <c r="H46" s="28" t="s">
        <v>182</v>
      </c>
      <c r="I46" s="29" t="s">
        <v>22</v>
      </c>
      <c r="J46" s="33">
        <v>46031</v>
      </c>
      <c r="K46" s="25"/>
      <c r="L46" s="25"/>
      <c r="M46" s="30" t="s">
        <v>30</v>
      </c>
      <c r="N46" s="30" t="s">
        <v>31</v>
      </c>
      <c r="O46" s="25" t="s">
        <v>115</v>
      </c>
      <c r="P46" s="25"/>
      <c r="Q46" s="25" t="s">
        <v>34</v>
      </c>
      <c r="R46" s="25"/>
      <c r="S46" s="25" t="s">
        <v>49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24</v>
      </c>
      <c r="C47" s="30" t="s">
        <v>19</v>
      </c>
      <c r="D47" s="26" t="s">
        <v>183</v>
      </c>
      <c r="F47" s="27">
        <v>85368</v>
      </c>
      <c r="G47" s="27" t="s">
        <v>184</v>
      </c>
      <c r="H47" s="28" t="s">
        <v>185</v>
      </c>
      <c r="I47" s="29" t="s">
        <v>43</v>
      </c>
      <c r="J47" s="33">
        <v>46031</v>
      </c>
      <c r="K47" s="33"/>
      <c r="L47" s="25"/>
      <c r="M47" s="30" t="s">
        <v>30</v>
      </c>
      <c r="N47" s="30" t="s">
        <v>31</v>
      </c>
      <c r="O47" s="25" t="s">
        <v>186</v>
      </c>
      <c r="P47" s="25" t="s">
        <v>33</v>
      </c>
      <c r="Q47" s="25" t="s">
        <v>34</v>
      </c>
      <c r="R47" s="25"/>
      <c r="S47" s="25" t="s">
        <v>49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24</v>
      </c>
      <c r="C48" s="30" t="s">
        <v>62</v>
      </c>
      <c r="D48" s="26" t="s">
        <v>187</v>
      </c>
      <c r="F48" s="27">
        <v>85368</v>
      </c>
      <c r="G48" s="27" t="s">
        <v>184</v>
      </c>
      <c r="H48" s="28" t="s">
        <v>185</v>
      </c>
      <c r="I48" s="29" t="s">
        <v>43</v>
      </c>
      <c r="J48" s="33">
        <v>46031</v>
      </c>
      <c r="K48" s="33"/>
      <c r="L48" s="25"/>
      <c r="M48" s="30" t="s">
        <v>30</v>
      </c>
      <c r="N48" s="30" t="s">
        <v>31</v>
      </c>
      <c r="O48" s="25" t="s">
        <v>188</v>
      </c>
      <c r="P48" s="25"/>
      <c r="Q48" s="25" t="s">
        <v>34</v>
      </c>
      <c r="R48" s="25"/>
      <c r="S48" s="25" t="s">
        <v>49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65</v>
      </c>
      <c r="C49" s="30" t="s">
        <v>19</v>
      </c>
      <c r="D49" s="26" t="s">
        <v>189</v>
      </c>
      <c r="E49" s="27" t="s">
        <v>190</v>
      </c>
      <c r="F49" s="27">
        <v>81669</v>
      </c>
      <c r="G49" s="27" t="s">
        <v>110</v>
      </c>
      <c r="H49" s="28" t="s">
        <v>191</v>
      </c>
      <c r="I49" s="29" t="s">
        <v>29</v>
      </c>
      <c r="J49" s="33">
        <v>46029</v>
      </c>
      <c r="K49" s="33"/>
      <c r="L49" s="25"/>
      <c r="M49" s="30" t="s">
        <v>76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24</v>
      </c>
      <c r="C50" s="30" t="s">
        <v>19</v>
      </c>
      <c r="D50" s="26" t="s">
        <v>192</v>
      </c>
      <c r="F50" s="27">
        <v>81827</v>
      </c>
      <c r="G50" s="27" t="s">
        <v>110</v>
      </c>
      <c r="H50" s="28" t="s">
        <v>193</v>
      </c>
      <c r="I50" s="29" t="s">
        <v>43</v>
      </c>
      <c r="J50" s="33">
        <v>46037</v>
      </c>
      <c r="K50" s="33">
        <v>46041</v>
      </c>
      <c r="L50" s="25"/>
      <c r="M50" s="30" t="s">
        <v>30</v>
      </c>
      <c r="N50" s="30" t="s">
        <v>18</v>
      </c>
      <c r="O50" s="25" t="s">
        <v>160</v>
      </c>
      <c r="P50" s="25" t="s">
        <v>194</v>
      </c>
      <c r="Q50" s="25" t="s">
        <v>67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24</v>
      </c>
      <c r="C51" s="30" t="s">
        <v>62</v>
      </c>
      <c r="D51" s="26" t="s">
        <v>195</v>
      </c>
      <c r="F51" s="27">
        <v>85737</v>
      </c>
      <c r="H51" s="28" t="s">
        <v>196</v>
      </c>
      <c r="I51" s="29" t="s">
        <v>43</v>
      </c>
      <c r="J51" s="33">
        <v>46031</v>
      </c>
      <c r="K51" s="25"/>
      <c r="L51" s="25" t="s">
        <v>197</v>
      </c>
      <c r="M51" s="30" t="s">
        <v>30</v>
      </c>
      <c r="N51" s="30" t="s">
        <v>31</v>
      </c>
      <c r="O51" s="25" t="s">
        <v>197</v>
      </c>
      <c r="P51" s="25"/>
      <c r="Q51" s="25" t="s">
        <v>34</v>
      </c>
      <c r="R51" s="25"/>
      <c r="S51" s="25" t="s">
        <v>198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24</v>
      </c>
      <c r="C52" s="30" t="s">
        <v>62</v>
      </c>
      <c r="D52" s="26" t="s">
        <v>199</v>
      </c>
      <c r="F52" s="27">
        <v>84036</v>
      </c>
      <c r="H52" s="28" t="s">
        <v>200</v>
      </c>
      <c r="I52" s="29" t="s">
        <v>43</v>
      </c>
      <c r="J52" s="33">
        <v>46041</v>
      </c>
      <c r="K52" s="25"/>
      <c r="L52" s="25" t="s">
        <v>201</v>
      </c>
      <c r="M52" s="30" t="s">
        <v>95</v>
      </c>
      <c r="N52" s="30" t="s">
        <v>31</v>
      </c>
      <c r="O52" s="25" t="s">
        <v>201</v>
      </c>
      <c r="P52" s="25" t="s">
        <v>202</v>
      </c>
      <c r="Q52" s="25" t="s">
        <v>67</v>
      </c>
      <c r="R52" s="25"/>
      <c r="S52" s="25" t="s">
        <v>116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203</v>
      </c>
      <c r="F53" s="27">
        <v>85560</v>
      </c>
      <c r="G53" s="27" t="s">
        <v>151</v>
      </c>
      <c r="H53" s="28" t="s">
        <v>204</v>
      </c>
      <c r="I53" s="29" t="s">
        <v>43</v>
      </c>
      <c r="J53" s="33">
        <v>46041</v>
      </c>
      <c r="K53" s="33">
        <v>46048</v>
      </c>
      <c r="L53" s="25" t="s">
        <v>205</v>
      </c>
      <c r="M53" s="30" t="s">
        <v>76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206</v>
      </c>
      <c r="F54" s="27">
        <v>81827</v>
      </c>
      <c r="G54" s="27" t="s">
        <v>110</v>
      </c>
      <c r="H54" s="28" t="s">
        <v>207</v>
      </c>
      <c r="I54" s="29" t="s">
        <v>22</v>
      </c>
      <c r="J54" s="33">
        <v>46042</v>
      </c>
      <c r="K54" s="33">
        <v>46043</v>
      </c>
      <c r="L54" s="25" t="s">
        <v>208</v>
      </c>
      <c r="M54" s="30" t="s">
        <v>76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209</v>
      </c>
      <c r="H55" s="26" t="s">
        <v>210</v>
      </c>
      <c r="I55" s="29" t="s">
        <v>171</v>
      </c>
      <c r="J55" s="33">
        <v>46044</v>
      </c>
      <c r="K55" s="33">
        <v>46050</v>
      </c>
      <c r="L55" s="25" t="s">
        <v>211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24</v>
      </c>
      <c r="C56" s="30" t="s">
        <v>62</v>
      </c>
      <c r="D56" s="26" t="s">
        <v>212</v>
      </c>
      <c r="F56" s="27">
        <v>85375</v>
      </c>
      <c r="H56" s="28" t="s">
        <v>213</v>
      </c>
      <c r="I56" s="29" t="s">
        <v>171</v>
      </c>
      <c r="J56" s="25"/>
      <c r="K56" s="25"/>
      <c r="L56" s="25" t="s">
        <v>214</v>
      </c>
      <c r="M56" s="30" t="s">
        <v>30</v>
      </c>
      <c r="N56" s="30" t="s">
        <v>31</v>
      </c>
      <c r="O56" s="25" t="s">
        <v>214</v>
      </c>
      <c r="P56" s="25"/>
      <c r="Q56" s="25" t="s">
        <v>39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62</v>
      </c>
      <c r="D57" s="26" t="s">
        <v>215</v>
      </c>
      <c r="F57" s="27">
        <v>84172</v>
      </c>
      <c r="H57" s="28" t="s">
        <v>216</v>
      </c>
      <c r="I57" s="29" t="s">
        <v>143</v>
      </c>
      <c r="J57" s="33">
        <v>46037</v>
      </c>
      <c r="K57" s="33">
        <v>46043</v>
      </c>
      <c r="L57" s="25" t="s">
        <v>217</v>
      </c>
      <c r="M57" s="30" t="s">
        <v>76</v>
      </c>
      <c r="O57" s="25"/>
      <c r="P57" s="25"/>
      <c r="Q57" s="25"/>
      <c r="R57" s="25"/>
      <c r="S57" s="25" t="s">
        <v>49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218</v>
      </c>
      <c r="H58" s="32" t="s">
        <v>219</v>
      </c>
      <c r="I58" s="29" t="s">
        <v>22</v>
      </c>
      <c r="J58" s="33">
        <v>46044</v>
      </c>
      <c r="K58" s="33">
        <v>46050</v>
      </c>
      <c r="L58" s="25" t="s">
        <v>211</v>
      </c>
      <c r="M58" s="25"/>
      <c r="N58" s="25"/>
      <c r="O58" s="25"/>
      <c r="P58" s="25"/>
      <c r="Q58" s="25"/>
      <c r="R58" s="25"/>
      <c r="S58" s="25" t="s">
        <v>116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24</v>
      </c>
      <c r="C59" s="30" t="s">
        <v>19</v>
      </c>
      <c r="D59" s="26" t="s">
        <v>220</v>
      </c>
      <c r="F59" s="27">
        <v>85625</v>
      </c>
      <c r="G59" s="27" t="s">
        <v>221</v>
      </c>
      <c r="H59" s="28" t="s">
        <v>222</v>
      </c>
      <c r="I59" s="29" t="s">
        <v>29</v>
      </c>
      <c r="J59" s="33">
        <v>46042</v>
      </c>
      <c r="K59" s="33"/>
      <c r="L59" s="25"/>
      <c r="M59" s="30" t="s">
        <v>30</v>
      </c>
      <c r="N59" s="30" t="s">
        <v>65</v>
      </c>
      <c r="O59" s="25" t="s">
        <v>223</v>
      </c>
      <c r="P59" s="25"/>
      <c r="Q59" s="25" t="s">
        <v>34</v>
      </c>
      <c r="R59" s="25"/>
      <c r="S59" s="25" t="s">
        <v>116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24</v>
      </c>
      <c r="C60" s="30" t="s">
        <v>19</v>
      </c>
      <c r="D60" s="26" t="s">
        <v>224</v>
      </c>
      <c r="F60" s="27">
        <v>84030</v>
      </c>
      <c r="G60" s="27" t="s">
        <v>27</v>
      </c>
      <c r="H60" s="28" t="s">
        <v>225</v>
      </c>
      <c r="I60" s="29" t="s">
        <v>43</v>
      </c>
      <c r="J60" s="33">
        <v>46031</v>
      </c>
      <c r="K60" s="33"/>
      <c r="L60" s="25"/>
      <c r="M60" s="30" t="s">
        <v>39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24</v>
      </c>
      <c r="C61" s="30" t="s">
        <v>62</v>
      </c>
      <c r="D61" s="26" t="s">
        <v>226</v>
      </c>
      <c r="F61" s="27">
        <v>85447</v>
      </c>
      <c r="H61" s="28" t="s">
        <v>227</v>
      </c>
      <c r="I61" s="29" t="s">
        <v>43</v>
      </c>
      <c r="J61" s="33">
        <v>46029</v>
      </c>
      <c r="K61" s="25"/>
      <c r="L61" s="25"/>
      <c r="M61" s="30" t="s">
        <v>30</v>
      </c>
      <c r="N61" s="30" t="s">
        <v>31</v>
      </c>
      <c r="O61" s="25" t="s">
        <v>228</v>
      </c>
      <c r="P61" s="25"/>
      <c r="Q61" s="25" t="s">
        <v>34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24</v>
      </c>
      <c r="C62" s="30" t="s">
        <v>19</v>
      </c>
      <c r="D62" s="26" t="s">
        <v>229</v>
      </c>
      <c r="F62" s="27">
        <v>85652</v>
      </c>
      <c r="G62" s="27" t="s">
        <v>125</v>
      </c>
      <c r="H62" s="28" t="s">
        <v>230</v>
      </c>
      <c r="I62" s="29" t="s">
        <v>43</v>
      </c>
      <c r="J62" s="33">
        <v>46037</v>
      </c>
      <c r="K62" s="25"/>
      <c r="L62" s="25"/>
      <c r="M62" s="30" t="s">
        <v>30</v>
      </c>
      <c r="N62" s="30" t="s">
        <v>31</v>
      </c>
      <c r="O62" s="25" t="s">
        <v>134</v>
      </c>
      <c r="P62" s="25"/>
      <c r="Q62" s="25" t="s">
        <v>34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24</v>
      </c>
      <c r="C63" s="30" t="s">
        <v>231</v>
      </c>
      <c r="D63" s="26" t="s">
        <v>232</v>
      </c>
      <c r="E63" s="27" t="s">
        <v>233</v>
      </c>
      <c r="F63" s="28"/>
      <c r="G63" s="28" t="s">
        <v>234</v>
      </c>
      <c r="H63" s="28" t="s">
        <v>235</v>
      </c>
      <c r="I63" s="34" t="s">
        <v>171</v>
      </c>
      <c r="J63" s="40">
        <v>45665</v>
      </c>
      <c r="K63" s="35"/>
      <c r="M63" s="30" t="s">
        <v>39</v>
      </c>
      <c r="R63" s="37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24</v>
      </c>
      <c r="C64" s="30" t="s">
        <v>19</v>
      </c>
      <c r="D64" s="30" t="s">
        <v>236</v>
      </c>
      <c r="F64" s="27">
        <v>84030</v>
      </c>
      <c r="G64" s="27" t="s">
        <v>237</v>
      </c>
      <c r="H64" s="28" t="s">
        <v>238</v>
      </c>
      <c r="I64" s="29" t="s">
        <v>29</v>
      </c>
      <c r="J64" s="25"/>
      <c r="K64" s="25"/>
      <c r="L64" s="25"/>
      <c r="M64" s="30" t="s">
        <v>30</v>
      </c>
      <c r="N64" s="30" t="s">
        <v>31</v>
      </c>
      <c r="O64" s="25" t="s">
        <v>134</v>
      </c>
      <c r="P64" s="25"/>
      <c r="Q64" s="25" t="s">
        <v>34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65</v>
      </c>
      <c r="C65" s="30" t="s">
        <v>19</v>
      </c>
      <c r="D65" s="26" t="s">
        <v>239</v>
      </c>
      <c r="F65" s="27">
        <v>81677</v>
      </c>
      <c r="G65" s="27" t="s">
        <v>110</v>
      </c>
      <c r="H65" s="28" t="s">
        <v>240</v>
      </c>
      <c r="I65" s="29" t="s">
        <v>29</v>
      </c>
      <c r="J65" s="33">
        <v>46031</v>
      </c>
      <c r="K65" s="25"/>
      <c r="L65" s="25"/>
      <c r="M65" s="30" t="s">
        <v>76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24</v>
      </c>
      <c r="C66" s="30" t="s">
        <v>19</v>
      </c>
      <c r="D66" s="26" t="s">
        <v>241</v>
      </c>
      <c r="E66" s="27" t="s">
        <v>242</v>
      </c>
      <c r="F66" s="28" t="s">
        <v>243</v>
      </c>
      <c r="G66" s="28" t="s">
        <v>110</v>
      </c>
      <c r="H66" s="28" t="s">
        <v>244</v>
      </c>
      <c r="I66" s="34" t="s">
        <v>29</v>
      </c>
      <c r="J66" s="40">
        <v>46031</v>
      </c>
      <c r="K66" s="35">
        <v>46043</v>
      </c>
      <c r="M66" s="30" t="s">
        <v>30</v>
      </c>
      <c r="O66" s="30" t="s">
        <v>245</v>
      </c>
      <c r="R66" s="37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46</v>
      </c>
      <c r="C67" s="30" t="s">
        <v>19</v>
      </c>
      <c r="D67" s="26" t="s">
        <v>246</v>
      </c>
      <c r="F67" s="27">
        <v>80803</v>
      </c>
      <c r="G67" s="27" t="s">
        <v>110</v>
      </c>
      <c r="H67" s="28" t="s">
        <v>247</v>
      </c>
      <c r="I67" s="29" t="s">
        <v>29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3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</row>
    <row r="302" spans="1:25" ht="13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</row>
    <row r="303" spans="1:25" ht="13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</row>
    <row r="304" spans="1:25" ht="13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</row>
    <row r="305" spans="1:25" ht="13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</row>
    <row r="306" spans="1:25" ht="13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</row>
    <row r="307" spans="1:25" ht="13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</row>
    <row r="308" spans="1:25" ht="13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</row>
    <row r="309" spans="1:25" ht="13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</row>
    <row r="310" spans="1:25" ht="13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</row>
    <row r="311" spans="1:25" ht="13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</row>
    <row r="312" spans="1:25" ht="13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</row>
    <row r="313" spans="1:25" ht="13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</row>
    <row r="314" spans="1:25" ht="13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</row>
    <row r="315" spans="1:25" ht="13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</row>
    <row r="316" spans="1:25" ht="13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</row>
    <row r="317" spans="1:25" ht="13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</row>
    <row r="318" spans="1:25" ht="13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</row>
    <row r="319" spans="1:25" ht="13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</row>
    <row r="320" spans="1:25" ht="13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</row>
    <row r="321" spans="1:25" ht="13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</row>
    <row r="322" spans="1:25" ht="13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</row>
    <row r="323" spans="1:25" ht="13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</row>
    <row r="324" spans="1:25" ht="13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</row>
    <row r="325" spans="1:25" ht="13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</row>
    <row r="326" spans="1:25" ht="13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</row>
    <row r="327" spans="1:25" ht="13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</row>
    <row r="328" spans="1:25" ht="13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</row>
    <row r="329" spans="1:25" ht="13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</row>
    <row r="330" spans="1:25" ht="13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</row>
    <row r="331" spans="1:25" ht="13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</row>
    <row r="332" spans="1:25" ht="13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</row>
    <row r="333" spans="1:25" ht="13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</row>
    <row r="334" spans="1:25" ht="13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</row>
    <row r="335" spans="1:25" ht="13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</row>
    <row r="336" spans="1:25" ht="13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</row>
    <row r="337" spans="1:25" ht="13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</row>
    <row r="338" spans="1:25" ht="13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</row>
    <row r="339" spans="1:25" ht="13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</row>
    <row r="340" spans="1:25" ht="13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</row>
    <row r="341" spans="1:25" ht="13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</row>
    <row r="342" spans="1:25" ht="13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</row>
    <row r="343" spans="1:25" ht="13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</row>
    <row r="344" spans="1:25" ht="13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</row>
    <row r="345" spans="1:25" ht="13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</row>
    <row r="346" spans="1:25" ht="13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</row>
    <row r="347" spans="1:25" ht="13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</row>
    <row r="348" spans="1:25" ht="13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</row>
    <row r="349" spans="1:25" ht="13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</row>
    <row r="350" spans="1:25" ht="13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</row>
    <row r="351" spans="1:25" ht="13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</row>
    <row r="352" spans="1:25" ht="13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</row>
    <row r="353" spans="1:25" ht="13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</row>
    <row r="354" spans="1:25" ht="13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</row>
    <row r="355" spans="1:25" ht="13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</row>
    <row r="356" spans="1:25" ht="13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</row>
    <row r="357" spans="1:25" ht="13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</row>
    <row r="358" spans="1:25" ht="13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25" ht="13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</row>
    <row r="360" spans="1:25" ht="13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</row>
    <row r="361" spans="1:25" ht="13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</row>
    <row r="362" spans="1:25" ht="13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</row>
    <row r="363" spans="1:25" ht="13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</row>
    <row r="364" spans="1:25" ht="13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</row>
    <row r="365" spans="1:25" ht="13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</row>
    <row r="366" spans="1:25" ht="13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</row>
    <row r="367" spans="1:25" ht="13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</row>
    <row r="368" spans="1:25" ht="13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</row>
    <row r="369" spans="1:25" ht="13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</row>
    <row r="370" spans="1:25" ht="13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</row>
    <row r="371" spans="1:25" ht="13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</row>
    <row r="372" spans="1:25" ht="13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</row>
    <row r="373" spans="1:25" ht="13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</row>
    <row r="374" spans="1:25" ht="13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</row>
    <row r="375" spans="1:25" ht="13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</row>
    <row r="376" spans="1:25" ht="13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</row>
    <row r="377" spans="1:25" ht="13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</row>
    <row r="378" spans="1:25" ht="13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</row>
    <row r="379" spans="1:25" ht="13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</row>
    <row r="380" spans="1:25" ht="13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</row>
    <row r="381" spans="1:25" ht="13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</row>
    <row r="382" spans="1:25" ht="13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</row>
    <row r="383" spans="1:25" ht="13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</row>
    <row r="384" spans="1:25" ht="13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</row>
    <row r="385" spans="1:25" ht="13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</row>
    <row r="386" spans="1:25" ht="13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</row>
    <row r="387" spans="1:25" ht="13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</row>
    <row r="388" spans="1:25" ht="13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</row>
    <row r="389" spans="1:25" ht="13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</row>
    <row r="390" spans="1:25" ht="13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</row>
    <row r="391" spans="1:25" ht="13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</row>
    <row r="392" spans="1:25" ht="13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</row>
    <row r="393" spans="1:25" ht="13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</row>
    <row r="394" spans="1:25" ht="13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</row>
    <row r="395" spans="1:25" ht="13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</row>
    <row r="396" spans="1:25" ht="13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</row>
    <row r="397" spans="1:25" ht="13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</row>
    <row r="398" spans="1:25" ht="13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</row>
    <row r="399" spans="1:25" ht="13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</row>
    <row r="400" spans="1:25" ht="13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</row>
    <row r="401" spans="1:25" ht="13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</row>
    <row r="402" spans="1:25" ht="13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</row>
    <row r="403" spans="1:25" ht="13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</row>
    <row r="404" spans="1:25" ht="13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</row>
    <row r="405" spans="1:25" ht="13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</row>
    <row r="406" spans="1:25" ht="13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</row>
    <row r="407" spans="1:25" ht="13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</row>
    <row r="408" spans="1:25" ht="13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</row>
    <row r="409" spans="1:25" ht="13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</row>
    <row r="410" spans="1:25" ht="13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</row>
    <row r="411" spans="1:25" ht="13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</row>
    <row r="412" spans="1:25" ht="13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</row>
    <row r="413" spans="1:25" ht="13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</row>
    <row r="414" spans="1:25" ht="13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</row>
    <row r="415" spans="1:25" ht="13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</row>
    <row r="416" spans="1:25" ht="13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</row>
    <row r="417" spans="1:25" ht="13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</row>
    <row r="418" spans="1:25" ht="13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</row>
    <row r="419" spans="1:25" ht="13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</row>
    <row r="420" spans="1:25" ht="13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</row>
    <row r="421" spans="1:25" ht="13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</row>
    <row r="422" spans="1:25" ht="13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</row>
    <row r="423" spans="1:25" ht="13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</row>
    <row r="424" spans="1:25" ht="13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</row>
    <row r="425" spans="1:25" ht="13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</row>
    <row r="426" spans="1:25" ht="13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</row>
    <row r="427" spans="1:25" ht="13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</row>
    <row r="428" spans="1:25" ht="13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</row>
    <row r="429" spans="1:25" ht="13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</row>
    <row r="430" spans="1:25" ht="13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</row>
    <row r="431" spans="1:25" ht="13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</row>
    <row r="432" spans="1:25" ht="13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</row>
    <row r="433" spans="1:25" ht="13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</row>
    <row r="434" spans="1:25" ht="13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</row>
    <row r="435" spans="1:25" ht="13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</row>
    <row r="436" spans="1:25" ht="13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</row>
    <row r="437" spans="1:25" ht="13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</row>
    <row r="438" spans="1:25" ht="13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</row>
    <row r="439" spans="1:25" ht="13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</row>
    <row r="440" spans="1:25" ht="13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</row>
    <row r="441" spans="1:25" ht="13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</row>
    <row r="442" spans="1:25" ht="13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</row>
    <row r="443" spans="1:25" ht="13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</row>
    <row r="444" spans="1:25" ht="13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</row>
    <row r="445" spans="1:25" ht="13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</row>
    <row r="446" spans="1:25" ht="13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</row>
    <row r="447" spans="1:25" ht="13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</row>
    <row r="448" spans="1:25" ht="13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</row>
    <row r="449" spans="1:25" ht="13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</row>
    <row r="450" spans="1:25" ht="13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</row>
    <row r="451" spans="1:25" ht="13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</row>
    <row r="452" spans="1:25" ht="13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</row>
    <row r="453" spans="1:25" ht="13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</row>
    <row r="454" spans="1:25" ht="13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</row>
    <row r="455" spans="1:25" ht="13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</row>
    <row r="456" spans="1:25" ht="13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</row>
    <row r="457" spans="1:25" ht="13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</row>
    <row r="458" spans="1:25" ht="13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</row>
    <row r="459" spans="1:25" ht="13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</row>
    <row r="460" spans="1:25" ht="13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</row>
    <row r="461" spans="1:25" ht="13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</row>
    <row r="462" spans="1:25" ht="13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</row>
    <row r="463" spans="1:25" ht="13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</row>
    <row r="464" spans="1:25" ht="13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</row>
    <row r="465" spans="1:25" ht="13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</row>
    <row r="466" spans="1:25" ht="13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</row>
    <row r="467" spans="1:25" ht="13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</row>
    <row r="468" spans="1:25" ht="13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</row>
    <row r="469" spans="1:25" ht="13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</row>
    <row r="470" spans="1:25" ht="13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</row>
    <row r="471" spans="1:25" ht="13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</row>
    <row r="472" spans="1:25" ht="13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</row>
    <row r="473" spans="1:25" ht="13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</row>
    <row r="474" spans="1:25" ht="13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</row>
    <row r="475" spans="1:25" ht="13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</row>
    <row r="476" spans="1:25" ht="13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</row>
    <row r="477" spans="1:25" ht="13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</row>
    <row r="478" spans="1:25" ht="13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</row>
    <row r="479" spans="1:25" ht="13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</row>
    <row r="480" spans="1:25" ht="13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</row>
    <row r="481" spans="1:25" ht="13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</row>
    <row r="482" spans="1:25" ht="13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</row>
    <row r="483" spans="1:25" ht="13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</row>
    <row r="484" spans="1:25" ht="13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</row>
    <row r="485" spans="1:25" ht="13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</row>
    <row r="486" spans="1:25" ht="13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</row>
    <row r="487" spans="1:25" ht="13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</row>
    <row r="488" spans="1:25" ht="13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</row>
    <row r="489" spans="1:25" ht="13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</row>
    <row r="490" spans="1:25" ht="13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</row>
    <row r="491" spans="1:25" ht="13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</row>
    <row r="492" spans="1:25" ht="13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</row>
    <row r="493" spans="1:25" ht="13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</row>
    <row r="494" spans="1:25" ht="13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</row>
    <row r="495" spans="1:25" ht="13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</row>
    <row r="496" spans="1:25" ht="13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</row>
    <row r="497" spans="1:25" ht="13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</row>
    <row r="498" spans="1:25" ht="13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</row>
    <row r="499" spans="1:25" ht="13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</row>
    <row r="500" spans="1:25" ht="13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</row>
    <row r="501" spans="1:25" ht="13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</row>
    <row r="502" spans="1:25" ht="13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</row>
    <row r="503" spans="1:25" ht="13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</row>
    <row r="504" spans="1:25" ht="13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</row>
    <row r="505" spans="1:25" ht="13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</row>
    <row r="506" spans="1:25" ht="13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</row>
    <row r="507" spans="1:25" ht="13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</row>
    <row r="508" spans="1:25" ht="13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</row>
    <row r="509" spans="1:25" ht="13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</row>
    <row r="510" spans="1:25" ht="13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</row>
    <row r="511" spans="1:25" ht="13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</row>
    <row r="512" spans="1:25" ht="13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</row>
    <row r="513" spans="1:25" ht="13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</row>
    <row r="514" spans="1:25" ht="13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</row>
    <row r="515" spans="1:25" ht="13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</row>
    <row r="516" spans="1:25" ht="13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</row>
    <row r="517" spans="1:25" ht="13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</row>
    <row r="518" spans="1:25" ht="13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</row>
    <row r="519" spans="1:25" ht="13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</row>
    <row r="520" spans="1:25" ht="13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</row>
    <row r="521" spans="1:25" ht="13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</row>
    <row r="522" spans="1:25" ht="13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</row>
    <row r="523" spans="1:25" ht="13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</row>
    <row r="524" spans="1:25" ht="13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</row>
    <row r="525" spans="1:25" ht="13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</row>
    <row r="526" spans="1:25" ht="13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</row>
    <row r="527" spans="1:25" ht="13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</row>
    <row r="528" spans="1:25" ht="13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</row>
    <row r="529" spans="1:25" ht="13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</row>
    <row r="530" spans="1:25" ht="13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</row>
    <row r="531" spans="1:25" ht="13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</row>
    <row r="532" spans="1:25" ht="13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</row>
    <row r="533" spans="1:25" ht="13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</row>
    <row r="534" spans="1:25" ht="13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</row>
    <row r="535" spans="1:25" ht="13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</row>
    <row r="536" spans="1:25" ht="13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</row>
    <row r="537" spans="1:25" ht="13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</row>
    <row r="538" spans="1:25" ht="13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</row>
    <row r="539" spans="1:25" ht="13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</row>
    <row r="540" spans="1:25" ht="13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</row>
    <row r="541" spans="1:25" ht="13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</row>
    <row r="542" spans="1:25" ht="13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</row>
    <row r="543" spans="1:25" ht="13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</row>
    <row r="544" spans="1:25" ht="13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</row>
    <row r="545" spans="1:25" ht="13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</row>
    <row r="546" spans="1:25" ht="13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</row>
    <row r="547" spans="1:25" ht="13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</row>
    <row r="548" spans="1:25" ht="13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</row>
    <row r="549" spans="1:25" ht="13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</row>
    <row r="550" spans="1:25" ht="13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</row>
    <row r="551" spans="1:25" ht="13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</row>
    <row r="552" spans="1:25" ht="13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</row>
    <row r="553" spans="1:25" ht="13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</row>
    <row r="554" spans="1:25" ht="13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</row>
    <row r="555" spans="1:25" ht="13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</row>
    <row r="556" spans="1:25" ht="13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</row>
    <row r="557" spans="1:25" ht="13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</row>
    <row r="558" spans="1:25" ht="13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</row>
    <row r="559" spans="1:25" ht="13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</row>
    <row r="560" spans="1:25" ht="13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</row>
    <row r="561" spans="1:25" ht="13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</row>
    <row r="562" spans="1:25" ht="13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</row>
    <row r="563" spans="1:25" ht="13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</row>
    <row r="564" spans="1:25" ht="13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</row>
    <row r="565" spans="1:25" ht="13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</row>
    <row r="566" spans="1:25" ht="13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</row>
    <row r="567" spans="1:25" ht="13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</row>
    <row r="568" spans="1:25" ht="13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</row>
    <row r="569" spans="1:25" ht="13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</row>
    <row r="570" spans="1:25" ht="13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</row>
    <row r="571" spans="1:25" ht="13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</row>
    <row r="572" spans="1:25" ht="13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</row>
    <row r="573" spans="1:25" ht="13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</row>
    <row r="574" spans="1:25" ht="13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</row>
    <row r="575" spans="1:25" ht="13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</row>
    <row r="576" spans="1:25" ht="13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</row>
    <row r="577" spans="1:25" ht="13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</row>
    <row r="578" spans="1:25" ht="13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</row>
    <row r="579" spans="1:25" ht="13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</row>
    <row r="580" spans="1:25" ht="13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</row>
    <row r="581" spans="1:25" ht="13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</row>
    <row r="582" spans="1:25" ht="13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</row>
    <row r="583" spans="1:25" ht="13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</row>
    <row r="584" spans="1:25" ht="13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</row>
    <row r="585" spans="1:25" ht="13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</row>
    <row r="586" spans="1:25" ht="13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</row>
    <row r="587" spans="1:25" ht="13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</row>
    <row r="588" spans="1:25" ht="13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</row>
    <row r="589" spans="1:25" ht="13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</row>
    <row r="590" spans="1:25" ht="13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</row>
    <row r="591" spans="1:25" ht="13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</row>
    <row r="592" spans="1:25" ht="13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</row>
    <row r="593" spans="1:25" ht="13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</row>
    <row r="594" spans="1:25" ht="13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</row>
    <row r="595" spans="1:25" ht="13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</row>
    <row r="596" spans="1:25" ht="13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</row>
    <row r="597" spans="1:25" ht="13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</row>
    <row r="598" spans="1:25" ht="13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</row>
    <row r="599" spans="1:25" ht="13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</row>
    <row r="600" spans="1:25" ht="13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</row>
    <row r="601" spans="1:25" ht="13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</row>
    <row r="602" spans="1:25" ht="13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</row>
    <row r="603" spans="1:25" ht="13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</row>
    <row r="604" spans="1:25" ht="13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</row>
    <row r="605" spans="1:25" ht="13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</row>
    <row r="606" spans="1:25" ht="13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</row>
    <row r="607" spans="1:25" ht="13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</row>
    <row r="608" spans="1:25" ht="13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</row>
    <row r="609" spans="1:25" ht="13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</row>
    <row r="610" spans="1:25" ht="13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</row>
    <row r="611" spans="1:25" ht="13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</row>
    <row r="612" spans="1:25" ht="13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</row>
    <row r="613" spans="1:25" ht="13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</row>
    <row r="614" spans="1:25" ht="13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</row>
    <row r="615" spans="1:25" ht="13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</row>
    <row r="616" spans="1:25" ht="13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</row>
    <row r="617" spans="1:25" ht="13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</row>
    <row r="618" spans="1:25" ht="13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</row>
    <row r="619" spans="1:25" ht="13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</row>
    <row r="620" spans="1:25" ht="13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</row>
    <row r="621" spans="1:25" ht="13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</row>
    <row r="622" spans="1:25" ht="13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</row>
    <row r="623" spans="1:25" ht="13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</row>
    <row r="624" spans="1:25" ht="13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</row>
    <row r="625" spans="1:25" ht="13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</row>
    <row r="626" spans="1:25" ht="13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</row>
    <row r="627" spans="1:25" ht="13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</row>
    <row r="628" spans="1:25" ht="13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</row>
    <row r="629" spans="1:25" ht="13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</row>
    <row r="630" spans="1:25" ht="13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</row>
    <row r="631" spans="1:25" ht="13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</row>
    <row r="632" spans="1:25" ht="13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</row>
    <row r="633" spans="1:25" ht="13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</row>
    <row r="634" spans="1:25" ht="13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</row>
    <row r="635" spans="1:25" ht="13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</row>
    <row r="636" spans="1:25" ht="13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</row>
    <row r="637" spans="1:25" ht="13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</row>
    <row r="638" spans="1:25" ht="13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</row>
    <row r="639" spans="1:25" ht="13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</row>
    <row r="640" spans="1:25" ht="13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</row>
    <row r="641" spans="1:25" ht="13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</row>
    <row r="642" spans="1:25" ht="13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</row>
    <row r="643" spans="1:25" ht="13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</row>
    <row r="644" spans="1:25" ht="13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</row>
    <row r="645" spans="1:25" ht="13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</row>
    <row r="646" spans="1:25" ht="13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</row>
    <row r="647" spans="1:25" ht="13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</row>
    <row r="648" spans="1:25" ht="13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</row>
    <row r="649" spans="1:25" ht="13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</row>
    <row r="650" spans="1:25" ht="13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</row>
    <row r="651" spans="1:25" ht="13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</row>
    <row r="652" spans="1:25" ht="13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</row>
    <row r="653" spans="1:25" ht="13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</row>
    <row r="654" spans="1:25" ht="13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</row>
    <row r="655" spans="1:25" ht="13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</row>
    <row r="656" spans="1:25" ht="13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</row>
    <row r="657" spans="1:25" ht="13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</row>
    <row r="658" spans="1:25" ht="13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</row>
    <row r="659" spans="1:25" ht="13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</row>
    <row r="660" spans="1:25" ht="13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</row>
    <row r="661" spans="1:25" ht="13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</row>
    <row r="662" spans="1:25" ht="13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</row>
    <row r="663" spans="1:25" ht="13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</row>
    <row r="664" spans="1:25" ht="13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</row>
    <row r="665" spans="1:25" ht="13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</row>
    <row r="666" spans="1:25" ht="13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</row>
    <row r="667" spans="1:25" ht="13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</row>
    <row r="668" spans="1:25" ht="13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</row>
    <row r="669" spans="1:25" ht="13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</row>
    <row r="670" spans="1:25" ht="13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</row>
    <row r="671" spans="1:25" ht="13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</row>
    <row r="672" spans="1:25" ht="13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</row>
    <row r="673" spans="1:25" ht="13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</row>
    <row r="674" spans="1:25" ht="13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</row>
    <row r="675" spans="1:25" ht="13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</row>
    <row r="676" spans="1:25" ht="13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</row>
    <row r="677" spans="1:25" ht="13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</row>
    <row r="678" spans="1:25" ht="13" x14ac:dyDescent="0.15">
      <c r="A678" s="24"/>
      <c r="B678" s="25"/>
      <c r="C678" s="25"/>
      <c r="D678" s="26"/>
      <c r="H678" s="28"/>
      <c r="I678" s="29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</row>
    <row r="679" spans="1:25" ht="13" x14ac:dyDescent="0.15">
      <c r="A679" s="24"/>
      <c r="B679" s="25"/>
      <c r="C679" s="25"/>
      <c r="D679" s="26"/>
      <c r="H679" s="28"/>
      <c r="I679" s="29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</row>
    <row r="680" spans="1:25" ht="13" x14ac:dyDescent="0.15">
      <c r="A680" s="24"/>
      <c r="B680" s="25"/>
      <c r="C680" s="25"/>
      <c r="D680" s="26"/>
      <c r="H680" s="28"/>
      <c r="I680" s="29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</row>
    <row r="681" spans="1:25" ht="13" x14ac:dyDescent="0.15">
      <c r="A681" s="24"/>
      <c r="B681" s="25"/>
      <c r="C681" s="25"/>
      <c r="D681" s="26"/>
      <c r="H681" s="28"/>
      <c r="I681" s="29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</row>
    <row r="682" spans="1:25" ht="13" x14ac:dyDescent="0.15">
      <c r="A682" s="24"/>
      <c r="B682" s="25"/>
      <c r="C682" s="25"/>
      <c r="D682" s="26"/>
      <c r="H682" s="28"/>
      <c r="I682" s="29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</row>
    <row r="683" spans="1:25" ht="13" x14ac:dyDescent="0.15">
      <c r="A683" s="24"/>
      <c r="B683" s="25"/>
      <c r="C683" s="25"/>
      <c r="D683" s="26"/>
      <c r="H683" s="28"/>
      <c r="I683" s="29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</row>
    <row r="684" spans="1:25" ht="13" x14ac:dyDescent="0.15">
      <c r="A684" s="24"/>
      <c r="B684" s="25"/>
      <c r="C684" s="25"/>
      <c r="D684" s="26"/>
      <c r="H684" s="28"/>
      <c r="I684" s="29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</row>
    <row r="685" spans="1:25" ht="13" x14ac:dyDescent="0.15">
      <c r="A685" s="24"/>
      <c r="B685" s="25"/>
      <c r="C685" s="25"/>
      <c r="D685" s="26"/>
      <c r="H685" s="28"/>
      <c r="I685" s="29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</row>
    <row r="686" spans="1:25" ht="13" x14ac:dyDescent="0.15">
      <c r="A686" s="24"/>
      <c r="B686" s="25"/>
      <c r="C686" s="25"/>
      <c r="D686" s="26"/>
      <c r="H686" s="28"/>
      <c r="I686" s="29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</row>
    <row r="687" spans="1:25" ht="13" x14ac:dyDescent="0.15">
      <c r="A687" s="24"/>
      <c r="B687" s="25"/>
      <c r="C687" s="25"/>
      <c r="D687" s="26"/>
      <c r="H687" s="28"/>
      <c r="I687" s="29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</row>
    <row r="688" spans="1:25" ht="13" x14ac:dyDescent="0.15">
      <c r="A688" s="24"/>
      <c r="B688" s="25"/>
      <c r="C688" s="25"/>
      <c r="D688" s="26"/>
      <c r="H688" s="28"/>
      <c r="I688" s="29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</row>
    <row r="689" spans="1:25" ht="13" x14ac:dyDescent="0.15">
      <c r="A689" s="24"/>
      <c r="B689" s="25"/>
      <c r="C689" s="25"/>
      <c r="D689" s="26"/>
      <c r="H689" s="28"/>
      <c r="I689" s="29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</row>
    <row r="690" spans="1:25" ht="13" x14ac:dyDescent="0.15">
      <c r="A690" s="24"/>
      <c r="B690" s="25"/>
      <c r="C690" s="25"/>
      <c r="D690" s="26"/>
      <c r="H690" s="28"/>
      <c r="I690" s="29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</row>
    <row r="691" spans="1:25" ht="13" x14ac:dyDescent="0.15">
      <c r="A691" s="24"/>
      <c r="B691" s="25"/>
      <c r="C691" s="25"/>
      <c r="D691" s="26"/>
      <c r="H691" s="28"/>
      <c r="I691" s="29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</row>
    <row r="692" spans="1:25" ht="13" x14ac:dyDescent="0.15">
      <c r="A692" s="24"/>
      <c r="B692" s="25"/>
      <c r="C692" s="25"/>
      <c r="D692" s="26"/>
      <c r="H692" s="28"/>
      <c r="I692" s="29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</row>
    <row r="693" spans="1:25" ht="13" x14ac:dyDescent="0.15">
      <c r="A693" s="24"/>
      <c r="B693" s="25"/>
      <c r="C693" s="25"/>
      <c r="D693" s="26"/>
      <c r="H693" s="28"/>
      <c r="I693" s="29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</row>
    <row r="694" spans="1:25" ht="13" x14ac:dyDescent="0.15">
      <c r="A694" s="24"/>
      <c r="B694" s="25"/>
      <c r="C694" s="25"/>
      <c r="D694" s="26"/>
      <c r="H694" s="28"/>
      <c r="I694" s="29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</row>
    <row r="695" spans="1:25" ht="13" x14ac:dyDescent="0.15">
      <c r="A695" s="24"/>
      <c r="B695" s="25"/>
      <c r="C695" s="25"/>
      <c r="D695" s="26"/>
      <c r="H695" s="28"/>
      <c r="I695" s="29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</row>
    <row r="696" spans="1:25" ht="13" x14ac:dyDescent="0.15">
      <c r="A696" s="24"/>
      <c r="B696" s="25"/>
      <c r="C696" s="25"/>
      <c r="D696" s="26"/>
      <c r="H696" s="28"/>
      <c r="I696" s="29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</row>
    <row r="697" spans="1:25" ht="13" x14ac:dyDescent="0.15">
      <c r="A697" s="24"/>
      <c r="B697" s="25"/>
      <c r="C697" s="25"/>
      <c r="D697" s="26"/>
      <c r="H697" s="28"/>
      <c r="I697" s="29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</row>
    <row r="698" spans="1:25" ht="13" x14ac:dyDescent="0.15">
      <c r="A698" s="24"/>
      <c r="B698" s="25"/>
      <c r="C698" s="25"/>
      <c r="D698" s="26"/>
      <c r="H698" s="28"/>
      <c r="I698" s="29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</row>
    <row r="699" spans="1:25" ht="13" x14ac:dyDescent="0.15">
      <c r="A699" s="24"/>
      <c r="B699" s="25"/>
      <c r="C699" s="25"/>
      <c r="D699" s="26"/>
      <c r="H699" s="28"/>
      <c r="I699" s="29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</row>
    <row r="700" spans="1:25" ht="13" x14ac:dyDescent="0.15">
      <c r="A700" s="24"/>
      <c r="B700" s="25"/>
      <c r="C700" s="25"/>
      <c r="D700" s="26"/>
      <c r="H700" s="28"/>
      <c r="I700" s="29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</row>
    <row r="701" spans="1:25" ht="13" x14ac:dyDescent="0.15">
      <c r="A701" s="24"/>
      <c r="B701" s="25"/>
      <c r="C701" s="25"/>
      <c r="D701" s="26"/>
      <c r="H701" s="28"/>
      <c r="I701" s="29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</row>
    <row r="702" spans="1:25" ht="13" x14ac:dyDescent="0.15">
      <c r="A702" s="24"/>
      <c r="B702" s="25"/>
      <c r="C702" s="25"/>
      <c r="D702" s="26"/>
      <c r="H702" s="28"/>
      <c r="I702" s="29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</row>
    <row r="703" spans="1:25" ht="13" x14ac:dyDescent="0.15">
      <c r="A703" s="24"/>
      <c r="B703" s="25"/>
      <c r="C703" s="25"/>
      <c r="D703" s="26"/>
      <c r="H703" s="28"/>
      <c r="I703" s="29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</row>
    <row r="704" spans="1:25" ht="13" x14ac:dyDescent="0.15">
      <c r="A704" s="24"/>
      <c r="B704" s="25"/>
      <c r="C704" s="25"/>
      <c r="D704" s="26"/>
      <c r="H704" s="28"/>
      <c r="I704" s="29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</row>
    <row r="705" spans="1:25" ht="13" x14ac:dyDescent="0.15">
      <c r="A705" s="24"/>
      <c r="B705" s="25"/>
      <c r="C705" s="25"/>
      <c r="D705" s="26"/>
      <c r="H705" s="28"/>
      <c r="I705" s="29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</row>
    <row r="706" spans="1:25" ht="13" x14ac:dyDescent="0.15">
      <c r="A706" s="24"/>
      <c r="B706" s="25"/>
      <c r="C706" s="25"/>
      <c r="D706" s="26"/>
      <c r="H706" s="28"/>
      <c r="I706" s="29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</row>
    <row r="707" spans="1:25" ht="13" x14ac:dyDescent="0.15">
      <c r="A707" s="24"/>
      <c r="B707" s="25"/>
      <c r="C707" s="25"/>
      <c r="D707" s="26"/>
      <c r="H707" s="28"/>
      <c r="I707" s="29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</row>
    <row r="708" spans="1:25" ht="13" x14ac:dyDescent="0.15">
      <c r="A708" s="24"/>
      <c r="B708" s="25"/>
      <c r="C708" s="25"/>
      <c r="D708" s="26"/>
      <c r="H708" s="28"/>
      <c r="I708" s="29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</row>
    <row r="709" spans="1:25" ht="13" x14ac:dyDescent="0.15">
      <c r="A709" s="24"/>
      <c r="B709" s="25"/>
      <c r="C709" s="25"/>
      <c r="D709" s="26"/>
      <c r="H709" s="28"/>
      <c r="I709" s="29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</row>
    <row r="710" spans="1:25" ht="13" x14ac:dyDescent="0.15">
      <c r="A710" s="24"/>
      <c r="B710" s="25"/>
      <c r="C710" s="25"/>
      <c r="D710" s="26"/>
      <c r="H710" s="28"/>
      <c r="I710" s="29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</row>
    <row r="711" spans="1:25" ht="13" x14ac:dyDescent="0.15">
      <c r="A711" s="24"/>
      <c r="B711" s="25"/>
      <c r="C711" s="25"/>
      <c r="D711" s="26"/>
      <c r="H711" s="28"/>
      <c r="I711" s="29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</row>
    <row r="712" spans="1:25" ht="13" x14ac:dyDescent="0.15">
      <c r="A712" s="24"/>
      <c r="B712" s="25"/>
      <c r="C712" s="25"/>
      <c r="D712" s="26"/>
      <c r="H712" s="28"/>
      <c r="I712" s="29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</row>
    <row r="713" spans="1:25" ht="13" x14ac:dyDescent="0.15">
      <c r="A713" s="24"/>
      <c r="B713" s="25"/>
      <c r="C713" s="25"/>
      <c r="D713" s="26"/>
      <c r="H713" s="28"/>
      <c r="I713" s="29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</row>
    <row r="714" spans="1:25" ht="13" x14ac:dyDescent="0.15">
      <c r="A714" s="24"/>
      <c r="B714" s="25"/>
      <c r="C714" s="25"/>
      <c r="D714" s="26"/>
      <c r="H714" s="28"/>
      <c r="I714" s="29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</row>
    <row r="715" spans="1:25" ht="13" x14ac:dyDescent="0.15">
      <c r="A715" s="24"/>
      <c r="B715" s="25"/>
      <c r="C715" s="25"/>
      <c r="D715" s="26"/>
      <c r="H715" s="28"/>
      <c r="I715" s="29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</row>
    <row r="716" spans="1:25" ht="13" x14ac:dyDescent="0.15">
      <c r="A716" s="24"/>
      <c r="B716" s="25"/>
      <c r="C716" s="25"/>
      <c r="D716" s="26"/>
      <c r="H716" s="28"/>
      <c r="I716" s="29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</row>
    <row r="717" spans="1:25" ht="13" x14ac:dyDescent="0.15">
      <c r="A717" s="24"/>
      <c r="B717" s="25"/>
      <c r="C717" s="25"/>
      <c r="D717" s="26"/>
      <c r="H717" s="28"/>
      <c r="I717" s="29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</row>
    <row r="718" spans="1:25" ht="13" x14ac:dyDescent="0.15">
      <c r="A718" s="24"/>
      <c r="B718" s="25"/>
      <c r="C718" s="25"/>
      <c r="D718" s="26"/>
      <c r="H718" s="28"/>
      <c r="I718" s="29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</row>
    <row r="719" spans="1:25" ht="13" x14ac:dyDescent="0.15">
      <c r="A719" s="24"/>
      <c r="B719" s="25"/>
      <c r="C719" s="25"/>
      <c r="D719" s="26"/>
      <c r="H719" s="28"/>
      <c r="I719" s="29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</row>
    <row r="720" spans="1:25" ht="13" x14ac:dyDescent="0.15">
      <c r="A720" s="24"/>
      <c r="B720" s="25"/>
      <c r="C720" s="25"/>
      <c r="D720" s="26"/>
      <c r="H720" s="28"/>
      <c r="I720" s="29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</row>
    <row r="721" spans="1:25" ht="13" x14ac:dyDescent="0.15">
      <c r="A721" s="24"/>
      <c r="B721" s="25"/>
      <c r="C721" s="25"/>
      <c r="D721" s="26"/>
      <c r="H721" s="28"/>
      <c r="I721" s="29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</row>
    <row r="722" spans="1:25" ht="13" x14ac:dyDescent="0.15">
      <c r="A722" s="24"/>
      <c r="B722" s="25"/>
      <c r="C722" s="25"/>
      <c r="D722" s="26"/>
      <c r="H722" s="28"/>
      <c r="I722" s="29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</row>
    <row r="723" spans="1:25" ht="13" x14ac:dyDescent="0.15">
      <c r="A723" s="24"/>
      <c r="B723" s="25"/>
      <c r="C723" s="25"/>
      <c r="D723" s="26"/>
      <c r="H723" s="28"/>
      <c r="I723" s="29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</row>
    <row r="724" spans="1:25" ht="13" x14ac:dyDescent="0.15">
      <c r="A724" s="24"/>
      <c r="B724" s="25"/>
      <c r="C724" s="25"/>
      <c r="D724" s="26"/>
      <c r="H724" s="28"/>
      <c r="I724" s="29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</row>
    <row r="725" spans="1:25" ht="13" x14ac:dyDescent="0.15">
      <c r="A725" s="24"/>
      <c r="B725" s="25"/>
      <c r="C725" s="25"/>
      <c r="D725" s="26"/>
      <c r="H725" s="28"/>
      <c r="I725" s="29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</row>
    <row r="726" spans="1:25" ht="13" x14ac:dyDescent="0.15">
      <c r="A726" s="24"/>
      <c r="B726" s="25"/>
      <c r="C726" s="25"/>
      <c r="D726" s="26"/>
      <c r="H726" s="28"/>
      <c r="I726" s="29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</row>
    <row r="727" spans="1:25" ht="13" x14ac:dyDescent="0.15">
      <c r="A727" s="24"/>
      <c r="B727" s="25"/>
      <c r="C727" s="25"/>
      <c r="D727" s="26"/>
      <c r="H727" s="28"/>
      <c r="I727" s="29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</row>
    <row r="728" spans="1:25" ht="13" x14ac:dyDescent="0.15">
      <c r="A728" s="24"/>
      <c r="B728" s="25"/>
      <c r="C728" s="25"/>
      <c r="D728" s="26"/>
      <c r="H728" s="28"/>
      <c r="I728" s="29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</row>
    <row r="729" spans="1:25" ht="13" x14ac:dyDescent="0.15">
      <c r="A729" s="24"/>
      <c r="B729" s="25"/>
      <c r="C729" s="25"/>
      <c r="D729" s="26"/>
      <c r="H729" s="28"/>
      <c r="I729" s="29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</row>
    <row r="730" spans="1:25" ht="13" x14ac:dyDescent="0.15">
      <c r="A730" s="24"/>
      <c r="B730" s="25"/>
      <c r="C730" s="25"/>
      <c r="D730" s="26"/>
      <c r="H730" s="28"/>
      <c r="I730" s="29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</row>
    <row r="731" spans="1:25" ht="13" x14ac:dyDescent="0.15">
      <c r="A731" s="24"/>
      <c r="B731" s="25"/>
      <c r="C731" s="25"/>
      <c r="D731" s="26"/>
      <c r="H731" s="28"/>
      <c r="I731" s="29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</row>
    <row r="732" spans="1:25" ht="13" x14ac:dyDescent="0.15">
      <c r="A732" s="24"/>
      <c r="B732" s="25"/>
      <c r="C732" s="25"/>
      <c r="D732" s="26"/>
      <c r="H732" s="28"/>
      <c r="I732" s="29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</row>
    <row r="733" spans="1:25" ht="13" x14ac:dyDescent="0.15">
      <c r="A733" s="24"/>
      <c r="B733" s="25"/>
      <c r="C733" s="25"/>
      <c r="D733" s="26"/>
      <c r="H733" s="28"/>
      <c r="I733" s="29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</row>
    <row r="734" spans="1:25" ht="13" x14ac:dyDescent="0.15">
      <c r="A734" s="24"/>
      <c r="B734" s="25"/>
      <c r="C734" s="25"/>
      <c r="D734" s="26"/>
      <c r="H734" s="28"/>
      <c r="I734" s="29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</row>
    <row r="735" spans="1:25" ht="13" x14ac:dyDescent="0.15">
      <c r="A735" s="24"/>
      <c r="B735" s="25"/>
      <c r="C735" s="25"/>
      <c r="D735" s="26"/>
      <c r="H735" s="28"/>
      <c r="I735" s="29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</row>
    <row r="736" spans="1:25" ht="13" x14ac:dyDescent="0.15">
      <c r="A736" s="24"/>
      <c r="B736" s="25"/>
      <c r="C736" s="25"/>
      <c r="D736" s="26"/>
      <c r="H736" s="28"/>
      <c r="I736" s="29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</row>
    <row r="737" spans="1:25" ht="13" x14ac:dyDescent="0.15">
      <c r="A737" s="24"/>
      <c r="B737" s="25"/>
      <c r="C737" s="25"/>
      <c r="D737" s="26"/>
      <c r="H737" s="28"/>
      <c r="I737" s="29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</row>
    <row r="738" spans="1:25" ht="13" x14ac:dyDescent="0.15">
      <c r="A738" s="24"/>
      <c r="B738" s="25"/>
      <c r="C738" s="25"/>
      <c r="D738" s="26"/>
      <c r="H738" s="28"/>
      <c r="I738" s="29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</row>
    <row r="739" spans="1:25" ht="13" x14ac:dyDescent="0.15">
      <c r="A739" s="24"/>
      <c r="B739" s="25"/>
      <c r="C739" s="25"/>
      <c r="D739" s="26"/>
      <c r="H739" s="28"/>
      <c r="I739" s="29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</row>
    <row r="740" spans="1:25" ht="13" x14ac:dyDescent="0.15">
      <c r="A740" s="24"/>
      <c r="B740" s="25"/>
      <c r="C740" s="25"/>
      <c r="D740" s="26"/>
      <c r="H740" s="28"/>
      <c r="I740" s="29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</row>
    <row r="741" spans="1:25" ht="13" x14ac:dyDescent="0.15">
      <c r="A741" s="24"/>
      <c r="B741" s="25"/>
      <c r="C741" s="25"/>
      <c r="D741" s="26"/>
      <c r="H741" s="28"/>
      <c r="I741" s="29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</row>
    <row r="742" spans="1:25" ht="13" x14ac:dyDescent="0.15">
      <c r="A742" s="24"/>
      <c r="B742" s="25"/>
      <c r="C742" s="25"/>
      <c r="D742" s="26"/>
      <c r="H742" s="28"/>
      <c r="I742" s="29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</row>
    <row r="743" spans="1:25" ht="13" x14ac:dyDescent="0.15">
      <c r="A743" s="24"/>
      <c r="B743" s="25"/>
      <c r="C743" s="25"/>
      <c r="D743" s="26"/>
      <c r="H743" s="28"/>
      <c r="I743" s="29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</row>
    <row r="744" spans="1:25" ht="13" x14ac:dyDescent="0.15">
      <c r="A744" s="24"/>
      <c r="B744" s="25"/>
      <c r="C744" s="25"/>
      <c r="D744" s="26"/>
      <c r="H744" s="28"/>
      <c r="I744" s="29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</row>
    <row r="745" spans="1:25" ht="13" x14ac:dyDescent="0.15">
      <c r="A745" s="24"/>
      <c r="B745" s="25"/>
      <c r="C745" s="25"/>
      <c r="D745" s="26"/>
      <c r="H745" s="28"/>
      <c r="I745" s="29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</row>
    <row r="746" spans="1:25" ht="13" x14ac:dyDescent="0.15">
      <c r="A746" s="24"/>
      <c r="B746" s="25"/>
      <c r="C746" s="25"/>
      <c r="D746" s="26"/>
      <c r="H746" s="28"/>
      <c r="I746" s="29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</row>
    <row r="747" spans="1:25" ht="13" x14ac:dyDescent="0.15">
      <c r="A747" s="24"/>
      <c r="B747" s="25"/>
      <c r="C747" s="25"/>
      <c r="D747" s="26"/>
      <c r="H747" s="28"/>
      <c r="I747" s="29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</row>
    <row r="748" spans="1:25" ht="13" x14ac:dyDescent="0.15">
      <c r="A748" s="24"/>
      <c r="B748" s="25"/>
      <c r="C748" s="25"/>
      <c r="D748" s="26"/>
      <c r="H748" s="28"/>
      <c r="I748" s="29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</row>
    <row r="749" spans="1:25" ht="13" x14ac:dyDescent="0.15">
      <c r="A749" s="24"/>
      <c r="B749" s="25"/>
      <c r="C749" s="25"/>
      <c r="D749" s="26"/>
      <c r="H749" s="28"/>
      <c r="I749" s="29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</row>
    <row r="750" spans="1:25" ht="13" x14ac:dyDescent="0.15">
      <c r="A750" s="24"/>
      <c r="B750" s="25"/>
      <c r="C750" s="25"/>
      <c r="D750" s="26"/>
      <c r="H750" s="28"/>
      <c r="I750" s="29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</row>
    <row r="751" spans="1:25" ht="13" x14ac:dyDescent="0.15">
      <c r="A751" s="24"/>
      <c r="B751" s="25"/>
      <c r="C751" s="25"/>
      <c r="D751" s="26"/>
      <c r="H751" s="28"/>
      <c r="I751" s="29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</row>
    <row r="752" spans="1:25" ht="13" x14ac:dyDescent="0.15">
      <c r="A752" s="24"/>
      <c r="B752" s="25"/>
      <c r="C752" s="25"/>
      <c r="D752" s="26"/>
      <c r="H752" s="28"/>
      <c r="I752" s="29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</row>
    <row r="753" spans="1:25" ht="13" x14ac:dyDescent="0.15">
      <c r="A753" s="24"/>
      <c r="B753" s="25"/>
      <c r="C753" s="25"/>
      <c r="D753" s="26"/>
      <c r="H753" s="28"/>
      <c r="I753" s="29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</row>
    <row r="754" spans="1:25" ht="13" x14ac:dyDescent="0.15">
      <c r="A754" s="24"/>
      <c r="B754" s="25"/>
      <c r="C754" s="25"/>
      <c r="D754" s="26"/>
      <c r="H754" s="28"/>
      <c r="I754" s="29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</row>
    <row r="755" spans="1:25" ht="13" x14ac:dyDescent="0.15">
      <c r="A755" s="24"/>
      <c r="B755" s="25"/>
      <c r="C755" s="25"/>
      <c r="D755" s="26"/>
      <c r="H755" s="28"/>
      <c r="I755" s="29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</row>
    <row r="756" spans="1:25" ht="13" x14ac:dyDescent="0.15">
      <c r="A756" s="24"/>
      <c r="B756" s="25"/>
      <c r="C756" s="25"/>
      <c r="D756" s="26"/>
      <c r="H756" s="28"/>
      <c r="I756" s="29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</row>
    <row r="757" spans="1:25" ht="13" x14ac:dyDescent="0.15">
      <c r="A757" s="24"/>
      <c r="B757" s="25"/>
      <c r="C757" s="25"/>
      <c r="D757" s="26"/>
      <c r="H757" s="28"/>
      <c r="I757" s="29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</row>
    <row r="758" spans="1:25" ht="13" x14ac:dyDescent="0.15">
      <c r="A758" s="24"/>
      <c r="B758" s="25"/>
      <c r="C758" s="25"/>
      <c r="D758" s="26"/>
      <c r="H758" s="28"/>
      <c r="I758" s="29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</row>
    <row r="759" spans="1:25" ht="13" x14ac:dyDescent="0.15">
      <c r="A759" s="24"/>
      <c r="B759" s="25"/>
      <c r="C759" s="25"/>
      <c r="D759" s="26"/>
      <c r="H759" s="28"/>
      <c r="I759" s="29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</row>
    <row r="760" spans="1:25" ht="13" x14ac:dyDescent="0.15">
      <c r="A760" s="24"/>
      <c r="B760" s="25"/>
      <c r="C760" s="25"/>
      <c r="D760" s="26"/>
      <c r="H760" s="28"/>
      <c r="I760" s="29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</row>
    <row r="761" spans="1:25" ht="13" x14ac:dyDescent="0.15">
      <c r="A761" s="24"/>
      <c r="B761" s="25"/>
      <c r="C761" s="25"/>
      <c r="D761" s="26"/>
      <c r="H761" s="28"/>
      <c r="I761" s="29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</row>
    <row r="762" spans="1:25" ht="13" x14ac:dyDescent="0.15">
      <c r="A762" s="24"/>
      <c r="B762" s="25"/>
      <c r="C762" s="25"/>
      <c r="D762" s="26"/>
      <c r="H762" s="28"/>
      <c r="I762" s="29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</row>
    <row r="763" spans="1:25" ht="13" x14ac:dyDescent="0.15">
      <c r="A763" s="24"/>
      <c r="B763" s="25"/>
      <c r="C763" s="25"/>
      <c r="D763" s="26"/>
      <c r="H763" s="28"/>
      <c r="I763" s="29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</row>
    <row r="764" spans="1:25" ht="13" x14ac:dyDescent="0.15">
      <c r="A764" s="24"/>
      <c r="B764" s="25"/>
      <c r="C764" s="25"/>
      <c r="D764" s="26"/>
      <c r="H764" s="28"/>
      <c r="I764" s="29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</row>
    <row r="765" spans="1:25" ht="13" x14ac:dyDescent="0.15">
      <c r="A765" s="24"/>
      <c r="B765" s="25"/>
      <c r="C765" s="25"/>
      <c r="D765" s="26"/>
      <c r="H765" s="28"/>
      <c r="I765" s="29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</row>
    <row r="766" spans="1:25" ht="13" x14ac:dyDescent="0.15">
      <c r="A766" s="24"/>
      <c r="B766" s="25"/>
      <c r="C766" s="25"/>
      <c r="D766" s="26"/>
      <c r="H766" s="28"/>
      <c r="I766" s="29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</row>
    <row r="767" spans="1:25" ht="13" x14ac:dyDescent="0.15">
      <c r="A767" s="24"/>
      <c r="B767" s="25"/>
      <c r="C767" s="25"/>
      <c r="D767" s="26"/>
      <c r="H767" s="28"/>
      <c r="I767" s="29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</row>
    <row r="768" spans="1:25" ht="13" x14ac:dyDescent="0.15">
      <c r="A768" s="24"/>
      <c r="B768" s="25"/>
      <c r="C768" s="25"/>
      <c r="D768" s="26"/>
      <c r="H768" s="28"/>
      <c r="I768" s="29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</row>
    <row r="769" spans="1:25" ht="13" x14ac:dyDescent="0.15">
      <c r="A769" s="24"/>
      <c r="B769" s="25"/>
      <c r="C769" s="25"/>
      <c r="D769" s="26"/>
      <c r="H769" s="28"/>
      <c r="I769" s="29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</row>
    <row r="770" spans="1:25" ht="13" x14ac:dyDescent="0.15">
      <c r="A770" s="24"/>
      <c r="B770" s="25"/>
      <c r="C770" s="25"/>
      <c r="D770" s="26"/>
      <c r="H770" s="28"/>
      <c r="I770" s="29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</row>
    <row r="771" spans="1:25" ht="13" x14ac:dyDescent="0.15">
      <c r="A771" s="24"/>
      <c r="B771" s="25"/>
      <c r="C771" s="25"/>
      <c r="D771" s="26"/>
      <c r="H771" s="28"/>
      <c r="I771" s="29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</row>
    <row r="772" spans="1:25" ht="13" x14ac:dyDescent="0.15">
      <c r="A772" s="24"/>
      <c r="B772" s="25"/>
      <c r="C772" s="25"/>
      <c r="D772" s="26"/>
      <c r="H772" s="28"/>
      <c r="I772" s="29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</row>
    <row r="773" spans="1:25" ht="13" x14ac:dyDescent="0.15">
      <c r="A773" s="24"/>
      <c r="B773" s="25"/>
      <c r="C773" s="25"/>
      <c r="D773" s="26"/>
      <c r="H773" s="28"/>
      <c r="I773" s="29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</row>
    <row r="774" spans="1:25" ht="13" x14ac:dyDescent="0.15">
      <c r="A774" s="24"/>
      <c r="B774" s="25"/>
      <c r="C774" s="25"/>
      <c r="D774" s="26"/>
      <c r="H774" s="28"/>
      <c r="I774" s="29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</row>
    <row r="775" spans="1:25" ht="13" x14ac:dyDescent="0.15">
      <c r="A775" s="24"/>
      <c r="B775" s="25"/>
      <c r="C775" s="25"/>
      <c r="D775" s="26"/>
      <c r="H775" s="28"/>
      <c r="I775" s="29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</row>
    <row r="776" spans="1:25" ht="13" x14ac:dyDescent="0.15">
      <c r="A776" s="24"/>
      <c r="B776" s="25"/>
      <c r="C776" s="25"/>
      <c r="D776" s="26"/>
      <c r="H776" s="28"/>
      <c r="I776" s="29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</row>
    <row r="777" spans="1:25" ht="13" x14ac:dyDescent="0.15">
      <c r="A777" s="24"/>
      <c r="B777" s="25"/>
      <c r="C777" s="25"/>
      <c r="D777" s="26"/>
      <c r="H777" s="28"/>
      <c r="I777" s="29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</row>
    <row r="778" spans="1:25" ht="13" x14ac:dyDescent="0.15">
      <c r="A778" s="24"/>
      <c r="B778" s="25"/>
      <c r="C778" s="25"/>
      <c r="D778" s="26"/>
      <c r="H778" s="28"/>
      <c r="I778" s="29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</row>
    <row r="779" spans="1:25" ht="13" x14ac:dyDescent="0.15">
      <c r="A779" s="24"/>
      <c r="B779" s="25"/>
      <c r="C779" s="25"/>
      <c r="D779" s="26"/>
      <c r="H779" s="28"/>
      <c r="I779" s="29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</row>
    <row r="780" spans="1:25" ht="13" x14ac:dyDescent="0.15">
      <c r="A780" s="24"/>
      <c r="B780" s="25"/>
      <c r="C780" s="25"/>
      <c r="D780" s="26"/>
      <c r="H780" s="28"/>
      <c r="I780" s="29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</row>
    <row r="781" spans="1:25" ht="13" x14ac:dyDescent="0.15">
      <c r="A781" s="24"/>
      <c r="B781" s="25"/>
      <c r="C781" s="25"/>
      <c r="D781" s="26"/>
      <c r="H781" s="28"/>
      <c r="I781" s="29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</row>
    <row r="782" spans="1:25" ht="13" x14ac:dyDescent="0.15">
      <c r="A782" s="24"/>
      <c r="B782" s="25"/>
      <c r="C782" s="25"/>
      <c r="D782" s="26"/>
      <c r="H782" s="28"/>
      <c r="I782" s="29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</row>
    <row r="783" spans="1:25" ht="13" x14ac:dyDescent="0.15">
      <c r="A783" s="24"/>
      <c r="B783" s="25"/>
      <c r="C783" s="25"/>
      <c r="D783" s="26"/>
      <c r="H783" s="28"/>
      <c r="I783" s="29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</row>
    <row r="784" spans="1:25" ht="13" x14ac:dyDescent="0.15">
      <c r="A784" s="24"/>
      <c r="B784" s="25"/>
      <c r="C784" s="25"/>
      <c r="D784" s="26"/>
      <c r="H784" s="28"/>
      <c r="I784" s="29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</row>
    <row r="785" spans="1:25" ht="13" x14ac:dyDescent="0.15">
      <c r="A785" s="24"/>
      <c r="B785" s="25"/>
      <c r="C785" s="25"/>
      <c r="D785" s="26"/>
      <c r="H785" s="28"/>
      <c r="I785" s="29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</row>
    <row r="786" spans="1:25" ht="13" x14ac:dyDescent="0.15">
      <c r="A786" s="24"/>
      <c r="B786" s="25"/>
      <c r="C786" s="25"/>
      <c r="D786" s="26"/>
      <c r="H786" s="28"/>
      <c r="I786" s="29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</row>
    <row r="787" spans="1:25" ht="13" x14ac:dyDescent="0.15">
      <c r="A787" s="24"/>
      <c r="B787" s="25"/>
      <c r="C787" s="25"/>
      <c r="D787" s="26"/>
      <c r="H787" s="28"/>
      <c r="I787" s="29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</row>
    <row r="788" spans="1:25" ht="13" x14ac:dyDescent="0.15">
      <c r="A788" s="24"/>
      <c r="B788" s="25"/>
      <c r="C788" s="25"/>
      <c r="D788" s="26"/>
      <c r="H788" s="28"/>
      <c r="I788" s="29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</row>
    <row r="789" spans="1:25" ht="13" x14ac:dyDescent="0.15">
      <c r="A789" s="24"/>
      <c r="B789" s="25"/>
      <c r="C789" s="25"/>
      <c r="D789" s="26"/>
      <c r="H789" s="28"/>
      <c r="I789" s="29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</row>
    <row r="790" spans="1:25" ht="13" x14ac:dyDescent="0.15">
      <c r="A790" s="24"/>
      <c r="B790" s="25"/>
      <c r="C790" s="25"/>
      <c r="D790" s="26"/>
      <c r="H790" s="28"/>
      <c r="I790" s="29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</row>
    <row r="791" spans="1:25" ht="13" x14ac:dyDescent="0.15">
      <c r="A791" s="24"/>
      <c r="B791" s="25"/>
      <c r="C791" s="25"/>
      <c r="D791" s="26"/>
      <c r="H791" s="28"/>
      <c r="I791" s="29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</row>
    <row r="792" spans="1:25" ht="13" x14ac:dyDescent="0.15">
      <c r="A792" s="24"/>
      <c r="B792" s="25"/>
      <c r="C792" s="25"/>
      <c r="D792" s="26"/>
      <c r="H792" s="28"/>
      <c r="I792" s="29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</row>
    <row r="793" spans="1:25" ht="13" x14ac:dyDescent="0.15">
      <c r="A793" s="24"/>
      <c r="B793" s="25"/>
      <c r="C793" s="25"/>
      <c r="D793" s="26"/>
      <c r="H793" s="28"/>
      <c r="I793" s="29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</row>
    <row r="794" spans="1:25" ht="13" x14ac:dyDescent="0.15">
      <c r="A794" s="24"/>
      <c r="B794" s="25"/>
      <c r="C794" s="25"/>
      <c r="D794" s="26"/>
      <c r="H794" s="28"/>
      <c r="I794" s="29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</row>
    <row r="795" spans="1:25" ht="13" x14ac:dyDescent="0.15">
      <c r="A795" s="24"/>
      <c r="B795" s="25"/>
      <c r="C795" s="25"/>
      <c r="D795" s="26"/>
      <c r="H795" s="28"/>
      <c r="I795" s="29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</row>
    <row r="796" spans="1:25" ht="13" x14ac:dyDescent="0.15">
      <c r="A796" s="24"/>
      <c r="B796" s="25"/>
      <c r="C796" s="25"/>
      <c r="D796" s="26"/>
      <c r="H796" s="28"/>
      <c r="I796" s="29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</row>
    <row r="797" spans="1:25" ht="13" x14ac:dyDescent="0.15">
      <c r="A797" s="24"/>
      <c r="B797" s="25"/>
      <c r="C797" s="25"/>
      <c r="D797" s="26"/>
      <c r="H797" s="28"/>
      <c r="I797" s="29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</row>
    <row r="798" spans="1:25" ht="13" x14ac:dyDescent="0.15">
      <c r="A798" s="24"/>
      <c r="B798" s="25"/>
      <c r="C798" s="25"/>
      <c r="D798" s="26"/>
      <c r="H798" s="28"/>
      <c r="I798" s="29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</row>
    <row r="799" spans="1:25" ht="13" x14ac:dyDescent="0.15">
      <c r="A799" s="24"/>
      <c r="B799" s="25"/>
      <c r="C799" s="25"/>
      <c r="D799" s="26"/>
      <c r="H799" s="28"/>
      <c r="I799" s="29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</row>
    <row r="800" spans="1:25" ht="13" x14ac:dyDescent="0.15">
      <c r="A800" s="24"/>
      <c r="B800" s="25"/>
      <c r="C800" s="25"/>
      <c r="D800" s="26"/>
      <c r="H800" s="28"/>
      <c r="I800" s="29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</row>
    <row r="801" spans="1:25" ht="13" x14ac:dyDescent="0.15">
      <c r="A801" s="24"/>
      <c r="B801" s="25"/>
      <c r="C801" s="25"/>
      <c r="D801" s="26"/>
      <c r="H801" s="28"/>
      <c r="I801" s="29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</row>
    <row r="802" spans="1:25" ht="13" x14ac:dyDescent="0.15">
      <c r="A802" s="24"/>
      <c r="B802" s="25"/>
      <c r="C802" s="25"/>
      <c r="D802" s="26"/>
      <c r="H802" s="28"/>
      <c r="I802" s="29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</row>
    <row r="803" spans="1:25" ht="13" x14ac:dyDescent="0.15">
      <c r="A803" s="24"/>
      <c r="B803" s="25"/>
      <c r="C803" s="25"/>
      <c r="D803" s="26"/>
      <c r="H803" s="28"/>
      <c r="I803" s="29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</row>
    <row r="804" spans="1:25" ht="13" x14ac:dyDescent="0.15">
      <c r="A804" s="24"/>
      <c r="B804" s="25"/>
      <c r="C804" s="25"/>
      <c r="D804" s="26"/>
      <c r="H804" s="28"/>
      <c r="I804" s="29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</row>
    <row r="805" spans="1:25" ht="13" x14ac:dyDescent="0.15">
      <c r="A805" s="24"/>
      <c r="B805" s="25"/>
      <c r="C805" s="25"/>
      <c r="D805" s="26"/>
      <c r="H805" s="28"/>
      <c r="I805" s="29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</row>
    <row r="806" spans="1:25" ht="13" x14ac:dyDescent="0.15">
      <c r="A806" s="24"/>
      <c r="B806" s="25"/>
      <c r="C806" s="25"/>
      <c r="D806" s="26"/>
      <c r="H806" s="28"/>
      <c r="I806" s="29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</row>
    <row r="807" spans="1:25" ht="13" x14ac:dyDescent="0.15">
      <c r="A807" s="24"/>
      <c r="B807" s="25"/>
      <c r="C807" s="25"/>
      <c r="D807" s="26"/>
      <c r="H807" s="28"/>
      <c r="I807" s="29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</row>
    <row r="808" spans="1:25" ht="13" x14ac:dyDescent="0.15">
      <c r="A808" s="24"/>
      <c r="B808" s="25"/>
      <c r="C808" s="25"/>
      <c r="D808" s="26"/>
      <c r="H808" s="28"/>
      <c r="I808" s="29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</row>
    <row r="809" spans="1:25" ht="13" x14ac:dyDescent="0.15">
      <c r="A809" s="24"/>
      <c r="B809" s="25"/>
      <c r="C809" s="25"/>
      <c r="D809" s="26"/>
      <c r="H809" s="28"/>
      <c r="I809" s="29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</row>
    <row r="810" spans="1:25" ht="13" x14ac:dyDescent="0.15">
      <c r="A810" s="24"/>
      <c r="B810" s="25"/>
      <c r="C810" s="25"/>
      <c r="D810" s="26"/>
      <c r="H810" s="28"/>
      <c r="I810" s="29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</row>
    <row r="811" spans="1:25" ht="13" x14ac:dyDescent="0.15">
      <c r="A811" s="24"/>
      <c r="B811" s="25"/>
      <c r="C811" s="25"/>
      <c r="D811" s="26"/>
      <c r="H811" s="28"/>
      <c r="I811" s="29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</row>
    <row r="812" spans="1:25" ht="13" x14ac:dyDescent="0.15">
      <c r="A812" s="24"/>
      <c r="B812" s="25"/>
      <c r="C812" s="25"/>
      <c r="D812" s="26"/>
      <c r="H812" s="28"/>
      <c r="I812" s="29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</row>
    <row r="813" spans="1:25" ht="13" x14ac:dyDescent="0.15">
      <c r="A813" s="24"/>
      <c r="B813" s="25"/>
      <c r="C813" s="25"/>
      <c r="D813" s="26"/>
      <c r="H813" s="28"/>
      <c r="I813" s="29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</row>
    <row r="814" spans="1:25" ht="13" x14ac:dyDescent="0.15">
      <c r="A814" s="24"/>
      <c r="B814" s="25"/>
      <c r="C814" s="25"/>
      <c r="D814" s="26"/>
      <c r="H814" s="28"/>
      <c r="I814" s="29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</row>
    <row r="815" spans="1:25" ht="13" x14ac:dyDescent="0.15">
      <c r="A815" s="24"/>
      <c r="B815" s="25"/>
      <c r="C815" s="25"/>
      <c r="D815" s="26"/>
      <c r="H815" s="28"/>
      <c r="I815" s="29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</row>
    <row r="816" spans="1:25" ht="13" x14ac:dyDescent="0.15">
      <c r="A816" s="24"/>
      <c r="B816" s="25"/>
      <c r="C816" s="25"/>
      <c r="D816" s="26"/>
      <c r="H816" s="28"/>
      <c r="I816" s="29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</row>
    <row r="817" spans="1:25" ht="13" x14ac:dyDescent="0.15">
      <c r="A817" s="24"/>
      <c r="B817" s="25"/>
      <c r="C817" s="25"/>
      <c r="D817" s="26"/>
      <c r="H817" s="28"/>
      <c r="I817" s="29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</row>
    <row r="818" spans="1:25" ht="13" x14ac:dyDescent="0.15">
      <c r="A818" s="24"/>
      <c r="B818" s="25"/>
      <c r="C818" s="25"/>
      <c r="D818" s="26"/>
      <c r="H818" s="28"/>
      <c r="I818" s="29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</row>
    <row r="819" spans="1:25" ht="13" x14ac:dyDescent="0.15">
      <c r="A819" s="24"/>
      <c r="B819" s="25"/>
      <c r="C819" s="25"/>
      <c r="D819" s="26"/>
      <c r="H819" s="28"/>
      <c r="I819" s="29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</row>
    <row r="820" spans="1:25" ht="13" x14ac:dyDescent="0.15">
      <c r="A820" s="24"/>
      <c r="B820" s="25"/>
      <c r="C820" s="25"/>
      <c r="D820" s="26"/>
      <c r="H820" s="28"/>
      <c r="I820" s="29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</row>
    <row r="821" spans="1:25" ht="13" x14ac:dyDescent="0.15">
      <c r="A821" s="24"/>
      <c r="B821" s="25"/>
      <c r="C821" s="25"/>
      <c r="D821" s="26"/>
      <c r="H821" s="28"/>
      <c r="I821" s="29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</row>
    <row r="822" spans="1:25" ht="13" x14ac:dyDescent="0.15">
      <c r="A822" s="24"/>
      <c r="B822" s="25"/>
      <c r="C822" s="25"/>
      <c r="D822" s="26"/>
      <c r="H822" s="28"/>
      <c r="I822" s="29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</row>
    <row r="823" spans="1:25" ht="13" x14ac:dyDescent="0.15">
      <c r="A823" s="24"/>
      <c r="B823" s="25"/>
      <c r="C823" s="25"/>
      <c r="D823" s="26"/>
      <c r="H823" s="28"/>
      <c r="I823" s="29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</row>
    <row r="824" spans="1:25" ht="13" x14ac:dyDescent="0.15">
      <c r="A824" s="24"/>
      <c r="B824" s="25"/>
      <c r="C824" s="25"/>
      <c r="D824" s="26"/>
      <c r="H824" s="28"/>
      <c r="I824" s="29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</row>
    <row r="825" spans="1:25" ht="13" x14ac:dyDescent="0.15">
      <c r="A825" s="24"/>
      <c r="B825" s="25"/>
      <c r="C825" s="25"/>
      <c r="D825" s="26"/>
      <c r="H825" s="28"/>
      <c r="I825" s="29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</row>
    <row r="826" spans="1:25" ht="13" x14ac:dyDescent="0.15">
      <c r="A826" s="24"/>
      <c r="B826" s="25"/>
      <c r="C826" s="25"/>
      <c r="D826" s="26"/>
      <c r="H826" s="28"/>
      <c r="I826" s="29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</row>
    <row r="827" spans="1:25" ht="13" x14ac:dyDescent="0.15">
      <c r="A827" s="24"/>
      <c r="B827" s="25"/>
      <c r="C827" s="25"/>
      <c r="D827" s="26"/>
      <c r="H827" s="28"/>
      <c r="I827" s="29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</row>
    <row r="828" spans="1:25" ht="13" x14ac:dyDescent="0.15">
      <c r="A828" s="24"/>
      <c r="B828" s="25"/>
      <c r="C828" s="25"/>
      <c r="D828" s="26"/>
      <c r="H828" s="28"/>
      <c r="I828" s="29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</row>
    <row r="829" spans="1:25" ht="13" x14ac:dyDescent="0.15">
      <c r="A829" s="24"/>
      <c r="B829" s="25"/>
      <c r="C829" s="25"/>
      <c r="D829" s="26"/>
      <c r="H829" s="28"/>
      <c r="I829" s="29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</row>
    <row r="830" spans="1:25" ht="13" x14ac:dyDescent="0.15">
      <c r="A830" s="24"/>
      <c r="B830" s="25"/>
      <c r="C830" s="25"/>
      <c r="D830" s="26"/>
      <c r="H830" s="28"/>
      <c r="I830" s="29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</row>
    <row r="831" spans="1:25" ht="13" x14ac:dyDescent="0.15">
      <c r="A831" s="24"/>
      <c r="B831" s="25"/>
      <c r="C831" s="25"/>
      <c r="D831" s="26"/>
      <c r="H831" s="28"/>
      <c r="I831" s="29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</row>
    <row r="832" spans="1:25" ht="13" x14ac:dyDescent="0.15">
      <c r="A832" s="24"/>
      <c r="B832" s="25"/>
      <c r="C832" s="25"/>
      <c r="D832" s="26"/>
      <c r="H832" s="28"/>
      <c r="I832" s="29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</row>
    <row r="833" spans="1:25" ht="13" x14ac:dyDescent="0.15">
      <c r="A833" s="24"/>
      <c r="B833" s="25"/>
      <c r="C833" s="25"/>
      <c r="D833" s="26"/>
      <c r="H833" s="28"/>
      <c r="I833" s="29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</row>
    <row r="834" spans="1:25" ht="13" x14ac:dyDescent="0.15">
      <c r="A834" s="24"/>
      <c r="B834" s="25"/>
      <c r="C834" s="25"/>
      <c r="D834" s="26"/>
      <c r="H834" s="28"/>
      <c r="I834" s="29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</row>
    <row r="835" spans="1:25" ht="13" x14ac:dyDescent="0.15">
      <c r="A835" s="24"/>
      <c r="B835" s="25"/>
      <c r="C835" s="25"/>
      <c r="D835" s="26"/>
      <c r="H835" s="28"/>
      <c r="I835" s="29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</row>
    <row r="836" spans="1:25" ht="13" x14ac:dyDescent="0.15">
      <c r="A836" s="24"/>
      <c r="B836" s="25"/>
      <c r="C836" s="25"/>
      <c r="D836" s="26"/>
      <c r="H836" s="28"/>
      <c r="I836" s="29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</row>
    <row r="837" spans="1:25" ht="13" x14ac:dyDescent="0.15">
      <c r="A837" s="24"/>
      <c r="B837" s="25"/>
      <c r="C837" s="25"/>
      <c r="D837" s="26"/>
      <c r="H837" s="28"/>
      <c r="I837" s="29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</row>
    <row r="838" spans="1:25" ht="13" x14ac:dyDescent="0.15">
      <c r="A838" s="24"/>
      <c r="B838" s="25"/>
      <c r="C838" s="25"/>
      <c r="D838" s="26"/>
      <c r="H838" s="28"/>
      <c r="I838" s="29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</row>
    <row r="839" spans="1:25" ht="13" x14ac:dyDescent="0.15">
      <c r="A839" s="24"/>
      <c r="B839" s="25"/>
      <c r="C839" s="25"/>
      <c r="D839" s="26"/>
      <c r="H839" s="28"/>
      <c r="I839" s="29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</row>
    <row r="840" spans="1:25" ht="13" x14ac:dyDescent="0.15">
      <c r="A840" s="24"/>
      <c r="B840" s="25"/>
      <c r="C840" s="25"/>
      <c r="D840" s="26"/>
      <c r="H840" s="28"/>
      <c r="I840" s="29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</row>
    <row r="841" spans="1:25" ht="13" x14ac:dyDescent="0.15">
      <c r="A841" s="24"/>
      <c r="B841" s="25"/>
      <c r="C841" s="25"/>
      <c r="D841" s="26"/>
      <c r="H841" s="28"/>
      <c r="I841" s="29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</row>
    <row r="842" spans="1:25" ht="13" x14ac:dyDescent="0.15">
      <c r="A842" s="24"/>
      <c r="B842" s="25"/>
      <c r="C842" s="25"/>
      <c r="D842" s="26"/>
      <c r="H842" s="28"/>
      <c r="I842" s="29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</row>
    <row r="843" spans="1:25" ht="13" x14ac:dyDescent="0.15">
      <c r="A843" s="24"/>
      <c r="B843" s="25"/>
      <c r="C843" s="25"/>
      <c r="D843" s="26"/>
      <c r="H843" s="28"/>
      <c r="I843" s="29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</row>
    <row r="844" spans="1:25" ht="13" x14ac:dyDescent="0.15">
      <c r="A844" s="24"/>
      <c r="B844" s="25"/>
      <c r="C844" s="25"/>
      <c r="D844" s="26"/>
      <c r="H844" s="28"/>
      <c r="I844" s="29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</row>
    <row r="845" spans="1:25" ht="13" x14ac:dyDescent="0.15">
      <c r="A845" s="24"/>
      <c r="B845" s="25"/>
      <c r="C845" s="25"/>
      <c r="D845" s="26"/>
      <c r="H845" s="28"/>
      <c r="I845" s="29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</row>
    <row r="846" spans="1:25" ht="13" x14ac:dyDescent="0.15">
      <c r="A846" s="24"/>
      <c r="B846" s="25"/>
      <c r="C846" s="25"/>
      <c r="D846" s="26"/>
      <c r="H846" s="28"/>
      <c r="I846" s="29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</row>
    <row r="847" spans="1:25" ht="13" x14ac:dyDescent="0.15">
      <c r="A847" s="24"/>
      <c r="B847" s="25"/>
      <c r="C847" s="25"/>
      <c r="D847" s="26"/>
      <c r="H847" s="28"/>
      <c r="I847" s="29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</row>
    <row r="848" spans="1:25" ht="13" x14ac:dyDescent="0.15">
      <c r="A848" s="24"/>
      <c r="B848" s="25"/>
      <c r="C848" s="25"/>
      <c r="D848" s="26"/>
      <c r="H848" s="28"/>
      <c r="I848" s="29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</row>
    <row r="849" spans="1:25" ht="13" x14ac:dyDescent="0.15">
      <c r="A849" s="24"/>
      <c r="B849" s="25"/>
      <c r="C849" s="25"/>
      <c r="D849" s="26"/>
      <c r="H849" s="28"/>
      <c r="I849" s="29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</row>
    <row r="850" spans="1:25" ht="13" x14ac:dyDescent="0.15">
      <c r="A850" s="24"/>
      <c r="B850" s="25"/>
      <c r="C850" s="25"/>
      <c r="D850" s="26"/>
      <c r="H850" s="28"/>
      <c r="I850" s="29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</row>
    <row r="851" spans="1:25" ht="13" x14ac:dyDescent="0.15">
      <c r="A851" s="24"/>
      <c r="B851" s="25"/>
      <c r="C851" s="25"/>
      <c r="D851" s="26"/>
      <c r="H851" s="28"/>
      <c r="I851" s="29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</row>
    <row r="852" spans="1:25" ht="13" x14ac:dyDescent="0.15">
      <c r="A852" s="24"/>
      <c r="B852" s="25"/>
      <c r="C852" s="25"/>
      <c r="D852" s="26"/>
      <c r="H852" s="28"/>
      <c r="I852" s="29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</row>
    <row r="853" spans="1:25" ht="13" x14ac:dyDescent="0.15">
      <c r="A853" s="24"/>
      <c r="B853" s="25"/>
      <c r="C853" s="25"/>
      <c r="D853" s="26"/>
      <c r="H853" s="28"/>
      <c r="I853" s="29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</row>
    <row r="854" spans="1:25" ht="13" x14ac:dyDescent="0.15">
      <c r="A854" s="24"/>
      <c r="B854" s="25"/>
      <c r="C854" s="25"/>
      <c r="D854" s="26"/>
      <c r="H854" s="28"/>
      <c r="I854" s="29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</row>
    <row r="855" spans="1:25" ht="13" x14ac:dyDescent="0.15">
      <c r="A855" s="24"/>
      <c r="B855" s="25"/>
      <c r="C855" s="25"/>
      <c r="D855" s="26"/>
      <c r="H855" s="28"/>
      <c r="I855" s="29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</row>
    <row r="856" spans="1:25" ht="13" x14ac:dyDescent="0.15">
      <c r="A856" s="24"/>
      <c r="B856" s="25"/>
      <c r="C856" s="25"/>
      <c r="D856" s="26"/>
      <c r="H856" s="28"/>
      <c r="I856" s="29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</row>
    <row r="857" spans="1:25" ht="13" x14ac:dyDescent="0.15">
      <c r="A857" s="24"/>
      <c r="B857" s="25"/>
      <c r="C857" s="25"/>
      <c r="D857" s="26"/>
      <c r="H857" s="28"/>
      <c r="I857" s="29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</row>
    <row r="858" spans="1:25" ht="13" x14ac:dyDescent="0.15">
      <c r="A858" s="24"/>
      <c r="B858" s="25"/>
      <c r="C858" s="25"/>
      <c r="D858" s="26"/>
      <c r="H858" s="28"/>
      <c r="I858" s="29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</row>
    <row r="859" spans="1:25" ht="13" x14ac:dyDescent="0.15">
      <c r="A859" s="24"/>
      <c r="B859" s="25"/>
      <c r="C859" s="25"/>
      <c r="D859" s="26"/>
      <c r="H859" s="28"/>
      <c r="I859" s="29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</row>
    <row r="860" spans="1:25" ht="13" x14ac:dyDescent="0.15">
      <c r="A860" s="24"/>
      <c r="B860" s="25"/>
      <c r="C860" s="25"/>
      <c r="D860" s="26"/>
      <c r="H860" s="28"/>
      <c r="I860" s="29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</row>
    <row r="861" spans="1:25" ht="13" x14ac:dyDescent="0.15">
      <c r="A861" s="24"/>
      <c r="B861" s="25"/>
      <c r="C861" s="25"/>
      <c r="D861" s="26"/>
      <c r="H861" s="28"/>
      <c r="I861" s="29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</row>
    <row r="862" spans="1:25" ht="13" x14ac:dyDescent="0.15">
      <c r="A862" s="24"/>
      <c r="B862" s="25"/>
      <c r="C862" s="25"/>
      <c r="D862" s="26"/>
      <c r="H862" s="28"/>
      <c r="I862" s="29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</row>
    <row r="863" spans="1:25" ht="13" x14ac:dyDescent="0.15">
      <c r="A863" s="24"/>
      <c r="B863" s="25"/>
      <c r="C863" s="25"/>
      <c r="D863" s="26"/>
      <c r="H863" s="28"/>
      <c r="I863" s="29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</row>
    <row r="864" spans="1:25" ht="13" x14ac:dyDescent="0.15">
      <c r="A864" s="24"/>
      <c r="B864" s="25"/>
      <c r="C864" s="25"/>
      <c r="D864" s="26"/>
      <c r="H864" s="28"/>
      <c r="I864" s="29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</row>
    <row r="865" spans="1:25" ht="13" x14ac:dyDescent="0.15">
      <c r="A865" s="24"/>
      <c r="B865" s="25"/>
      <c r="C865" s="25"/>
      <c r="D865" s="26"/>
      <c r="H865" s="28"/>
      <c r="I865" s="29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</row>
    <row r="866" spans="1:25" ht="13" x14ac:dyDescent="0.15">
      <c r="A866" s="24"/>
      <c r="B866" s="25"/>
      <c r="C866" s="25"/>
      <c r="D866" s="26"/>
      <c r="H866" s="28"/>
      <c r="I866" s="29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</row>
    <row r="867" spans="1:25" ht="13" x14ac:dyDescent="0.15">
      <c r="A867" s="24"/>
      <c r="B867" s="25"/>
      <c r="C867" s="25"/>
      <c r="D867" s="26"/>
      <c r="H867" s="28"/>
      <c r="I867" s="29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</row>
    <row r="868" spans="1:25" ht="13" x14ac:dyDescent="0.15">
      <c r="A868" s="24"/>
      <c r="B868" s="25"/>
      <c r="C868" s="25"/>
      <c r="D868" s="26"/>
      <c r="H868" s="28"/>
      <c r="I868" s="29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</row>
    <row r="869" spans="1:25" ht="13" x14ac:dyDescent="0.15">
      <c r="A869" s="24"/>
      <c r="B869" s="25"/>
      <c r="C869" s="25"/>
      <c r="D869" s="26"/>
      <c r="H869" s="28"/>
      <c r="I869" s="29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</row>
    <row r="870" spans="1:25" ht="13" x14ac:dyDescent="0.15">
      <c r="A870" s="24"/>
      <c r="B870" s="25"/>
      <c r="C870" s="25"/>
      <c r="D870" s="26"/>
      <c r="H870" s="28"/>
      <c r="I870" s="29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</row>
    <row r="871" spans="1:25" ht="13" x14ac:dyDescent="0.15">
      <c r="A871" s="24"/>
      <c r="B871" s="25"/>
      <c r="C871" s="25"/>
      <c r="D871" s="26"/>
      <c r="H871" s="28"/>
      <c r="I871" s="29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</row>
    <row r="872" spans="1:25" ht="13" x14ac:dyDescent="0.15">
      <c r="A872" s="24"/>
      <c r="B872" s="25"/>
      <c r="C872" s="25"/>
      <c r="D872" s="26"/>
      <c r="H872" s="28"/>
      <c r="I872" s="29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</row>
    <row r="873" spans="1:25" ht="13" x14ac:dyDescent="0.15">
      <c r="A873" s="24"/>
      <c r="B873" s="25"/>
      <c r="C873" s="25"/>
      <c r="D873" s="26"/>
      <c r="H873" s="28"/>
      <c r="I873" s="29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</row>
    <row r="874" spans="1:25" ht="13" x14ac:dyDescent="0.15">
      <c r="A874" s="24"/>
      <c r="B874" s="25"/>
      <c r="C874" s="25"/>
      <c r="D874" s="26"/>
      <c r="H874" s="28"/>
      <c r="I874" s="29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</row>
    <row r="875" spans="1:25" ht="13" x14ac:dyDescent="0.15">
      <c r="A875" s="24"/>
      <c r="B875" s="25"/>
      <c r="C875" s="25"/>
      <c r="D875" s="26"/>
      <c r="H875" s="28"/>
      <c r="I875" s="29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</row>
    <row r="876" spans="1:25" ht="13" x14ac:dyDescent="0.15">
      <c r="A876" s="24"/>
      <c r="B876" s="25"/>
      <c r="C876" s="25"/>
      <c r="D876" s="26"/>
      <c r="H876" s="28"/>
      <c r="I876" s="29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</row>
    <row r="877" spans="1:25" ht="13" x14ac:dyDescent="0.15">
      <c r="A877" s="24"/>
      <c r="B877" s="25"/>
      <c r="C877" s="25"/>
      <c r="D877" s="26"/>
      <c r="H877" s="28"/>
      <c r="I877" s="29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</row>
    <row r="878" spans="1:25" ht="13" x14ac:dyDescent="0.15">
      <c r="A878" s="24"/>
      <c r="B878" s="25"/>
      <c r="C878" s="25"/>
      <c r="D878" s="26"/>
      <c r="H878" s="28"/>
      <c r="I878" s="29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</row>
    <row r="879" spans="1:25" ht="13" x14ac:dyDescent="0.15">
      <c r="A879" s="24"/>
      <c r="B879" s="25"/>
      <c r="C879" s="25"/>
      <c r="D879" s="26"/>
      <c r="H879" s="28"/>
      <c r="I879" s="29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</row>
    <row r="880" spans="1:25" ht="13" x14ac:dyDescent="0.15">
      <c r="A880" s="24"/>
      <c r="B880" s="25"/>
      <c r="C880" s="25"/>
      <c r="D880" s="26"/>
      <c r="H880" s="28"/>
      <c r="I880" s="29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</row>
    <row r="881" spans="1:25" ht="13" x14ac:dyDescent="0.15">
      <c r="A881" s="24"/>
      <c r="B881" s="25"/>
      <c r="C881" s="25"/>
      <c r="D881" s="26"/>
      <c r="H881" s="28"/>
      <c r="I881" s="29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</row>
    <row r="882" spans="1:25" ht="13" x14ac:dyDescent="0.15">
      <c r="A882" s="24"/>
      <c r="B882" s="25"/>
      <c r="C882" s="25"/>
      <c r="D882" s="26"/>
      <c r="H882" s="28"/>
      <c r="I882" s="29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</row>
    <row r="883" spans="1:25" ht="13" x14ac:dyDescent="0.15">
      <c r="A883" s="24"/>
      <c r="B883" s="25"/>
      <c r="C883" s="25"/>
      <c r="D883" s="26"/>
      <c r="H883" s="28"/>
      <c r="I883" s="29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</row>
    <row r="884" spans="1:25" ht="13" x14ac:dyDescent="0.15">
      <c r="A884" s="24"/>
      <c r="B884" s="25"/>
      <c r="C884" s="25"/>
      <c r="D884" s="26"/>
      <c r="H884" s="28"/>
      <c r="I884" s="29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</row>
    <row r="885" spans="1:25" ht="13" x14ac:dyDescent="0.15">
      <c r="A885" s="24"/>
      <c r="B885" s="25"/>
      <c r="C885" s="25"/>
      <c r="D885" s="26"/>
      <c r="H885" s="28"/>
      <c r="I885" s="29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</row>
    <row r="886" spans="1:25" ht="13" x14ac:dyDescent="0.15">
      <c r="A886" s="24"/>
      <c r="B886" s="25"/>
      <c r="C886" s="25"/>
      <c r="D886" s="26"/>
      <c r="H886" s="28"/>
      <c r="I886" s="29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</row>
    <row r="887" spans="1:25" ht="13" x14ac:dyDescent="0.15">
      <c r="A887" s="24"/>
      <c r="B887" s="25"/>
      <c r="C887" s="25"/>
      <c r="D887" s="26"/>
      <c r="H887" s="28"/>
      <c r="I887" s="29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</row>
    <row r="888" spans="1:25" ht="13" x14ac:dyDescent="0.15">
      <c r="A888" s="24"/>
      <c r="B888" s="25"/>
      <c r="C888" s="25"/>
      <c r="D888" s="26"/>
      <c r="H888" s="28"/>
      <c r="I888" s="29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</row>
    <row r="889" spans="1:25" ht="13" x14ac:dyDescent="0.15">
      <c r="A889" s="24"/>
      <c r="B889" s="25"/>
      <c r="C889" s="25"/>
      <c r="D889" s="26"/>
      <c r="H889" s="28"/>
      <c r="I889" s="29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</row>
    <row r="890" spans="1:25" ht="13" x14ac:dyDescent="0.15">
      <c r="A890" s="24"/>
      <c r="B890" s="25"/>
      <c r="C890" s="25"/>
      <c r="D890" s="26"/>
      <c r="H890" s="28"/>
      <c r="I890" s="29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</row>
    <row r="891" spans="1:25" ht="13" x14ac:dyDescent="0.15">
      <c r="A891" s="24"/>
      <c r="B891" s="25"/>
      <c r="C891" s="25"/>
      <c r="D891" s="26"/>
      <c r="H891" s="28"/>
      <c r="I891" s="29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</row>
    <row r="892" spans="1:25" ht="13" x14ac:dyDescent="0.15">
      <c r="A892" s="24"/>
      <c r="B892" s="25"/>
      <c r="C892" s="25"/>
      <c r="D892" s="26"/>
      <c r="H892" s="28"/>
      <c r="I892" s="29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</row>
    <row r="893" spans="1:25" ht="13" x14ac:dyDescent="0.15">
      <c r="A893" s="24"/>
      <c r="B893" s="25"/>
      <c r="C893" s="25"/>
      <c r="D893" s="26"/>
      <c r="H893" s="28"/>
      <c r="I893" s="29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</row>
    <row r="894" spans="1:25" ht="13" x14ac:dyDescent="0.15">
      <c r="A894" s="24"/>
      <c r="B894" s="25"/>
      <c r="C894" s="25"/>
      <c r="D894" s="26"/>
      <c r="H894" s="28"/>
      <c r="I894" s="29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</row>
    <row r="895" spans="1:25" ht="13" x14ac:dyDescent="0.15">
      <c r="A895" s="24"/>
      <c r="B895" s="25"/>
      <c r="C895" s="25"/>
      <c r="D895" s="26"/>
      <c r="H895" s="28"/>
      <c r="I895" s="29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</row>
    <row r="896" spans="1:25" ht="13" x14ac:dyDescent="0.15">
      <c r="A896" s="24"/>
      <c r="B896" s="25"/>
      <c r="C896" s="25"/>
      <c r="D896" s="26"/>
      <c r="H896" s="28"/>
      <c r="I896" s="29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</row>
    <row r="897" spans="1:25" ht="13" x14ac:dyDescent="0.15">
      <c r="A897" s="24"/>
      <c r="B897" s="25"/>
      <c r="C897" s="25"/>
      <c r="D897" s="26"/>
      <c r="H897" s="28"/>
      <c r="I897" s="29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</row>
    <row r="898" spans="1:25" ht="13" x14ac:dyDescent="0.15">
      <c r="A898" s="24"/>
      <c r="B898" s="25"/>
      <c r="C898" s="25"/>
      <c r="D898" s="26"/>
      <c r="H898" s="28"/>
      <c r="I898" s="29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</row>
    <row r="899" spans="1:25" ht="13" x14ac:dyDescent="0.15">
      <c r="A899" s="24"/>
      <c r="B899" s="25"/>
      <c r="C899" s="25"/>
      <c r="D899" s="26"/>
      <c r="H899" s="28"/>
      <c r="I899" s="29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</row>
    <row r="900" spans="1:25" ht="13" x14ac:dyDescent="0.15">
      <c r="A900" s="24"/>
      <c r="B900" s="25"/>
      <c r="C900" s="25"/>
      <c r="D900" s="26"/>
      <c r="H900" s="28"/>
      <c r="I900" s="29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</row>
    <row r="901" spans="1:25" ht="13" x14ac:dyDescent="0.15">
      <c r="A901" s="24"/>
      <c r="B901" s="25"/>
      <c r="C901" s="25"/>
      <c r="D901" s="26"/>
      <c r="H901" s="28"/>
      <c r="I901" s="29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</row>
    <row r="902" spans="1:25" ht="13" x14ac:dyDescent="0.15">
      <c r="A902" s="24"/>
      <c r="B902" s="25"/>
      <c r="C902" s="25"/>
      <c r="D902" s="26"/>
      <c r="H902" s="28"/>
      <c r="I902" s="29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</row>
    <row r="903" spans="1:25" ht="13" x14ac:dyDescent="0.15">
      <c r="A903" s="24"/>
      <c r="B903" s="25"/>
      <c r="C903" s="25"/>
      <c r="D903" s="26"/>
      <c r="H903" s="28"/>
      <c r="I903" s="29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</row>
    <row r="904" spans="1:25" ht="13" x14ac:dyDescent="0.15">
      <c r="A904" s="24"/>
      <c r="B904" s="25"/>
      <c r="C904" s="25"/>
      <c r="D904" s="26"/>
      <c r="H904" s="28"/>
      <c r="I904" s="29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</row>
    <row r="905" spans="1:25" ht="13" x14ac:dyDescent="0.15">
      <c r="A905" s="24"/>
      <c r="B905" s="25"/>
      <c r="C905" s="25"/>
      <c r="D905" s="26"/>
      <c r="H905" s="28"/>
      <c r="I905" s="29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</row>
    <row r="906" spans="1:25" ht="13" x14ac:dyDescent="0.15">
      <c r="A906" s="24"/>
      <c r="B906" s="25"/>
      <c r="C906" s="25"/>
      <c r="D906" s="26"/>
      <c r="H906" s="28"/>
      <c r="I906" s="29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</row>
    <row r="907" spans="1:25" ht="13" x14ac:dyDescent="0.15">
      <c r="A907" s="24"/>
      <c r="B907" s="25"/>
      <c r="C907" s="25"/>
      <c r="D907" s="26"/>
      <c r="H907" s="28"/>
      <c r="I907" s="29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</row>
    <row r="908" spans="1:25" ht="13" x14ac:dyDescent="0.15">
      <c r="A908" s="24"/>
      <c r="B908" s="25"/>
      <c r="C908" s="25"/>
      <c r="D908" s="26"/>
      <c r="H908" s="28"/>
      <c r="I908" s="29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</row>
    <row r="909" spans="1:25" ht="13" x14ac:dyDescent="0.15">
      <c r="A909" s="24"/>
      <c r="B909" s="25"/>
      <c r="C909" s="25"/>
      <c r="D909" s="26"/>
      <c r="H909" s="28"/>
      <c r="I909" s="29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</row>
    <row r="910" spans="1:25" ht="13" x14ac:dyDescent="0.15">
      <c r="A910" s="24"/>
      <c r="B910" s="25"/>
      <c r="C910" s="25"/>
      <c r="D910" s="26"/>
      <c r="H910" s="28"/>
      <c r="I910" s="29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</row>
    <row r="911" spans="1:25" ht="13" x14ac:dyDescent="0.15">
      <c r="A911" s="24"/>
      <c r="B911" s="25"/>
      <c r="C911" s="25"/>
      <c r="D911" s="26"/>
      <c r="H911" s="28"/>
      <c r="I911" s="29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</row>
    <row r="912" spans="1:25" ht="13" x14ac:dyDescent="0.15">
      <c r="A912" s="24"/>
      <c r="B912" s="25"/>
      <c r="C912" s="25"/>
      <c r="D912" s="26"/>
      <c r="H912" s="28"/>
      <c r="I912" s="29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</row>
    <row r="913" spans="1:25" ht="13" x14ac:dyDescent="0.15">
      <c r="A913" s="24"/>
      <c r="B913" s="25"/>
      <c r="C913" s="25"/>
      <c r="D913" s="26"/>
      <c r="H913" s="28"/>
      <c r="I913" s="29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</row>
    <row r="914" spans="1:25" ht="13" x14ac:dyDescent="0.15">
      <c r="A914" s="24"/>
      <c r="B914" s="25"/>
      <c r="C914" s="25"/>
      <c r="D914" s="26"/>
      <c r="H914" s="28"/>
      <c r="I914" s="29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</row>
    <row r="915" spans="1:25" ht="13" x14ac:dyDescent="0.15">
      <c r="A915" s="24"/>
      <c r="B915" s="25"/>
      <c r="C915" s="25"/>
      <c r="D915" s="26"/>
      <c r="H915" s="28"/>
      <c r="I915" s="29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</row>
    <row r="916" spans="1:25" ht="13" x14ac:dyDescent="0.15">
      <c r="A916" s="24"/>
      <c r="B916" s="25"/>
      <c r="C916" s="25"/>
      <c r="D916" s="26"/>
      <c r="H916" s="28"/>
      <c r="I916" s="29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</row>
    <row r="917" spans="1:25" ht="13" x14ac:dyDescent="0.15">
      <c r="A917" s="24"/>
      <c r="B917" s="25"/>
      <c r="C917" s="25"/>
      <c r="D917" s="26"/>
      <c r="H917" s="28"/>
      <c r="I917" s="29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</row>
    <row r="918" spans="1:25" ht="13" x14ac:dyDescent="0.15">
      <c r="A918" s="24"/>
      <c r="B918" s="25"/>
      <c r="C918" s="25"/>
      <c r="D918" s="26"/>
      <c r="H918" s="28"/>
      <c r="I918" s="29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</row>
    <row r="919" spans="1:25" ht="13" x14ac:dyDescent="0.15">
      <c r="A919" s="24"/>
      <c r="B919" s="25"/>
      <c r="C919" s="25"/>
      <c r="D919" s="26"/>
      <c r="H919" s="28"/>
      <c r="I919" s="29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</row>
    <row r="920" spans="1:25" ht="13" x14ac:dyDescent="0.15">
      <c r="A920" s="24"/>
      <c r="B920" s="25"/>
      <c r="C920" s="25"/>
      <c r="D920" s="26"/>
      <c r="H920" s="28"/>
      <c r="I920" s="29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</row>
    <row r="921" spans="1:25" ht="13" x14ac:dyDescent="0.15">
      <c r="A921" s="24"/>
      <c r="B921" s="25"/>
      <c r="C921" s="25"/>
      <c r="D921" s="26"/>
      <c r="H921" s="28"/>
      <c r="I921" s="29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</row>
    <row r="922" spans="1:25" ht="13" x14ac:dyDescent="0.15">
      <c r="A922" s="24"/>
      <c r="B922" s="25"/>
      <c r="C922" s="25"/>
      <c r="D922" s="26"/>
      <c r="H922" s="28"/>
      <c r="I922" s="29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</row>
    <row r="923" spans="1:25" ht="13" x14ac:dyDescent="0.15">
      <c r="A923" s="24"/>
      <c r="B923" s="25"/>
      <c r="C923" s="25"/>
      <c r="D923" s="26"/>
      <c r="H923" s="28"/>
      <c r="I923" s="29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</row>
    <row r="924" spans="1:25" ht="13" x14ac:dyDescent="0.15">
      <c r="A924" s="24"/>
      <c r="B924" s="25"/>
      <c r="C924" s="25"/>
      <c r="D924" s="26"/>
      <c r="H924" s="28"/>
      <c r="I924" s="29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</row>
    <row r="925" spans="1:25" ht="13" x14ac:dyDescent="0.15">
      <c r="A925" s="24"/>
      <c r="B925" s="25"/>
      <c r="C925" s="25"/>
      <c r="D925" s="26"/>
      <c r="H925" s="28"/>
      <c r="I925" s="29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</row>
    <row r="926" spans="1:25" ht="13" x14ac:dyDescent="0.15">
      <c r="A926" s="24"/>
      <c r="B926" s="25"/>
      <c r="C926" s="25"/>
      <c r="D926" s="26"/>
      <c r="H926" s="28"/>
      <c r="I926" s="29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</row>
    <row r="927" spans="1:25" ht="13" x14ac:dyDescent="0.15">
      <c r="A927" s="24"/>
      <c r="B927" s="25"/>
      <c r="C927" s="25"/>
      <c r="D927" s="26"/>
      <c r="H927" s="28"/>
      <c r="I927" s="29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</row>
    <row r="928" spans="1:25" ht="13" x14ac:dyDescent="0.15">
      <c r="A928" s="24"/>
      <c r="B928" s="25"/>
      <c r="C928" s="25"/>
      <c r="D928" s="26"/>
      <c r="H928" s="28"/>
      <c r="I928" s="29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</row>
    <row r="929" spans="1:25" ht="13" x14ac:dyDescent="0.15">
      <c r="A929" s="24"/>
      <c r="B929" s="25"/>
      <c r="C929" s="25"/>
      <c r="D929" s="26"/>
      <c r="H929" s="28"/>
      <c r="I929" s="29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</row>
    <row r="930" spans="1:25" ht="13" x14ac:dyDescent="0.15">
      <c r="A930" s="24"/>
      <c r="B930" s="25"/>
      <c r="C930" s="25"/>
      <c r="D930" s="26"/>
      <c r="H930" s="28"/>
      <c r="I930" s="29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</row>
    <row r="931" spans="1:25" ht="13" x14ac:dyDescent="0.15">
      <c r="A931" s="24"/>
      <c r="B931" s="25"/>
      <c r="C931" s="25"/>
      <c r="D931" s="26"/>
      <c r="H931" s="28"/>
      <c r="I931" s="29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</row>
    <row r="932" spans="1:25" ht="13" x14ac:dyDescent="0.15">
      <c r="A932" s="24"/>
      <c r="B932" s="25"/>
      <c r="C932" s="25"/>
      <c r="D932" s="26"/>
      <c r="H932" s="28"/>
      <c r="I932" s="29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</row>
    <row r="933" spans="1:25" ht="13" x14ac:dyDescent="0.15">
      <c r="A933" s="24"/>
      <c r="B933" s="25"/>
      <c r="C933" s="25"/>
      <c r="D933" s="26"/>
      <c r="H933" s="28"/>
      <c r="I933" s="29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</row>
    <row r="934" spans="1:25" ht="13" x14ac:dyDescent="0.15">
      <c r="A934" s="24"/>
      <c r="B934" s="25"/>
      <c r="C934" s="25"/>
      <c r="D934" s="26"/>
      <c r="H934" s="28"/>
      <c r="I934" s="29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</row>
    <row r="935" spans="1:25" ht="13" x14ac:dyDescent="0.15">
      <c r="A935" s="24"/>
      <c r="B935" s="25"/>
      <c r="C935" s="25"/>
      <c r="D935" s="26"/>
      <c r="H935" s="28"/>
      <c r="I935" s="29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</row>
    <row r="936" spans="1:25" ht="13" x14ac:dyDescent="0.15">
      <c r="A936" s="24"/>
      <c r="B936" s="25"/>
      <c r="C936" s="25"/>
      <c r="D936" s="26"/>
      <c r="H936" s="28"/>
      <c r="I936" s="29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</row>
    <row r="937" spans="1:25" ht="13" x14ac:dyDescent="0.15">
      <c r="A937" s="24"/>
      <c r="B937" s="25"/>
      <c r="C937" s="25"/>
      <c r="D937" s="26"/>
      <c r="H937" s="28"/>
      <c r="I937" s="29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</row>
    <row r="938" spans="1:25" ht="13" x14ac:dyDescent="0.15">
      <c r="A938" s="24"/>
      <c r="B938" s="25"/>
      <c r="C938" s="25"/>
      <c r="D938" s="26"/>
      <c r="H938" s="28"/>
      <c r="I938" s="29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</row>
    <row r="939" spans="1:25" ht="13" x14ac:dyDescent="0.15">
      <c r="A939" s="24"/>
      <c r="B939" s="25"/>
      <c r="C939" s="25"/>
      <c r="D939" s="26"/>
      <c r="H939" s="28"/>
      <c r="I939" s="29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</row>
    <row r="940" spans="1:25" ht="13" x14ac:dyDescent="0.15">
      <c r="A940" s="24"/>
      <c r="B940" s="25"/>
      <c r="C940" s="25"/>
      <c r="D940" s="26"/>
      <c r="H940" s="28"/>
      <c r="I940" s="29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</row>
    <row r="941" spans="1:25" ht="13" x14ac:dyDescent="0.15">
      <c r="A941" s="24"/>
      <c r="B941" s="25"/>
      <c r="C941" s="25"/>
      <c r="D941" s="26"/>
      <c r="H941" s="28"/>
      <c r="I941" s="29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</row>
    <row r="942" spans="1:25" ht="13" x14ac:dyDescent="0.15">
      <c r="A942" s="24"/>
      <c r="B942" s="25"/>
      <c r="C942" s="25"/>
      <c r="D942" s="26"/>
      <c r="H942" s="28"/>
      <c r="I942" s="29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</row>
    <row r="943" spans="1:25" ht="13" x14ac:dyDescent="0.15">
      <c r="A943" s="24"/>
      <c r="B943" s="25"/>
      <c r="C943" s="25"/>
      <c r="D943" s="26"/>
      <c r="H943" s="28"/>
      <c r="I943" s="29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</row>
    <row r="944" spans="1:25" ht="13" x14ac:dyDescent="0.15">
      <c r="A944" s="24"/>
      <c r="B944" s="25"/>
      <c r="C944" s="25"/>
      <c r="D944" s="26"/>
      <c r="H944" s="28"/>
      <c r="I944" s="29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</row>
    <row r="945" spans="1:25" ht="13" x14ac:dyDescent="0.15">
      <c r="A945" s="24"/>
      <c r="B945" s="25"/>
      <c r="C945" s="25"/>
      <c r="D945" s="26"/>
      <c r="H945" s="28"/>
      <c r="I945" s="29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</row>
    <row r="946" spans="1:25" ht="13" x14ac:dyDescent="0.15">
      <c r="A946" s="24"/>
      <c r="B946" s="25"/>
      <c r="C946" s="25"/>
      <c r="D946" s="26"/>
      <c r="H946" s="28"/>
      <c r="I946" s="29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</row>
    <row r="947" spans="1:25" ht="13" x14ac:dyDescent="0.15">
      <c r="A947" s="24"/>
      <c r="B947" s="25"/>
      <c r="C947" s="25"/>
      <c r="D947" s="26"/>
      <c r="H947" s="28"/>
      <c r="I947" s="29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</row>
    <row r="948" spans="1:25" ht="13" x14ac:dyDescent="0.15">
      <c r="A948" s="24"/>
      <c r="B948" s="25"/>
      <c r="C948" s="25"/>
      <c r="D948" s="26"/>
      <c r="H948" s="28"/>
      <c r="I948" s="29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</row>
    <row r="949" spans="1:25" ht="13" x14ac:dyDescent="0.15">
      <c r="A949" s="24"/>
      <c r="B949" s="25"/>
      <c r="C949" s="25"/>
      <c r="D949" s="26"/>
      <c r="H949" s="28"/>
      <c r="I949" s="29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</row>
    <row r="950" spans="1:25" ht="13" x14ac:dyDescent="0.15">
      <c r="A950" s="24"/>
      <c r="B950" s="25"/>
      <c r="C950" s="25"/>
      <c r="D950" s="26"/>
      <c r="H950" s="28"/>
      <c r="I950" s="29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</row>
    <row r="951" spans="1:25" ht="13" x14ac:dyDescent="0.15">
      <c r="A951" s="24"/>
      <c r="B951" s="25"/>
      <c r="C951" s="25"/>
      <c r="D951" s="26"/>
      <c r="H951" s="28"/>
      <c r="I951" s="29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</row>
    <row r="952" spans="1:25" ht="13" x14ac:dyDescent="0.15">
      <c r="A952" s="24"/>
      <c r="B952" s="25"/>
      <c r="C952" s="25"/>
      <c r="D952" s="26"/>
      <c r="H952" s="28"/>
      <c r="I952" s="29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</row>
    <row r="953" spans="1:25" ht="13" x14ac:dyDescent="0.15">
      <c r="A953" s="24"/>
      <c r="B953" s="25"/>
      <c r="C953" s="25"/>
      <c r="D953" s="26"/>
      <c r="H953" s="28"/>
      <c r="I953" s="29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</row>
    <row r="954" spans="1:25" ht="13" x14ac:dyDescent="0.15">
      <c r="A954" s="24"/>
      <c r="B954" s="25"/>
      <c r="C954" s="25"/>
      <c r="D954" s="26"/>
      <c r="H954" s="28"/>
      <c r="I954" s="29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</row>
    <row r="955" spans="1:25" ht="13" x14ac:dyDescent="0.15">
      <c r="A955" s="24"/>
      <c r="B955" s="25"/>
      <c r="C955" s="25"/>
      <c r="D955" s="26"/>
      <c r="H955" s="28"/>
      <c r="I955" s="29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</row>
    <row r="956" spans="1:25" ht="13" x14ac:dyDescent="0.15">
      <c r="A956" s="24"/>
      <c r="B956" s="25"/>
      <c r="C956" s="25"/>
      <c r="D956" s="26"/>
      <c r="H956" s="28"/>
      <c r="I956" s="29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</row>
    <row r="957" spans="1:25" ht="13" x14ac:dyDescent="0.15">
      <c r="A957" s="24"/>
      <c r="B957" s="25"/>
      <c r="C957" s="25"/>
      <c r="D957" s="26"/>
      <c r="H957" s="28"/>
      <c r="I957" s="29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</row>
    <row r="958" spans="1:25" ht="13" x14ac:dyDescent="0.15">
      <c r="A958" s="24"/>
      <c r="B958" s="25"/>
      <c r="C958" s="25"/>
      <c r="D958" s="26"/>
      <c r="H958" s="28"/>
      <c r="I958" s="29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</row>
    <row r="959" spans="1:25" ht="13" x14ac:dyDescent="0.15">
      <c r="A959" s="24"/>
      <c r="B959" s="25"/>
      <c r="C959" s="25"/>
      <c r="D959" s="26"/>
      <c r="H959" s="28"/>
      <c r="I959" s="29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</row>
    <row r="960" spans="1:25" ht="13" x14ac:dyDescent="0.15">
      <c r="A960" s="24"/>
      <c r="B960" s="25"/>
      <c r="C960" s="25"/>
      <c r="D960" s="26"/>
      <c r="H960" s="28"/>
      <c r="I960" s="29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</row>
    <row r="961" spans="1:25" ht="13" x14ac:dyDescent="0.15">
      <c r="A961" s="24"/>
      <c r="B961" s="25"/>
      <c r="C961" s="25"/>
      <c r="D961" s="26"/>
      <c r="H961" s="28"/>
      <c r="I961" s="29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</row>
    <row r="962" spans="1:25" ht="13" x14ac:dyDescent="0.15">
      <c r="A962" s="24"/>
      <c r="B962" s="25"/>
      <c r="C962" s="25"/>
      <c r="D962" s="26"/>
      <c r="H962" s="28"/>
      <c r="I962" s="29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</row>
    <row r="963" spans="1:25" ht="13" x14ac:dyDescent="0.15">
      <c r="A963" s="24"/>
      <c r="B963" s="25"/>
      <c r="C963" s="25"/>
      <c r="D963" s="26"/>
      <c r="H963" s="28"/>
      <c r="I963" s="29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</row>
    <row r="964" spans="1:25" ht="13" x14ac:dyDescent="0.15">
      <c r="A964" s="24"/>
      <c r="B964" s="25"/>
      <c r="C964" s="25"/>
      <c r="D964" s="26"/>
      <c r="H964" s="28"/>
      <c r="I964" s="29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</row>
    <row r="965" spans="1:25" ht="13" x14ac:dyDescent="0.15">
      <c r="A965" s="24"/>
      <c r="B965" s="25"/>
      <c r="C965" s="25"/>
      <c r="D965" s="26"/>
      <c r="H965" s="28"/>
      <c r="I965" s="29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</row>
    <row r="966" spans="1:25" ht="13" x14ac:dyDescent="0.15">
      <c r="A966" s="24"/>
      <c r="B966" s="25"/>
      <c r="C966" s="25"/>
      <c r="D966" s="26"/>
      <c r="H966" s="28"/>
      <c r="I966" s="29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</row>
    <row r="967" spans="1:25" ht="13" x14ac:dyDescent="0.15">
      <c r="A967" s="24"/>
      <c r="B967" s="25"/>
      <c r="C967" s="25"/>
      <c r="D967" s="26"/>
      <c r="H967" s="28"/>
      <c r="I967" s="29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</row>
    <row r="968" spans="1:25" ht="13" x14ac:dyDescent="0.15">
      <c r="A968" s="24"/>
      <c r="B968" s="25"/>
      <c r="C968" s="25"/>
      <c r="D968" s="26"/>
      <c r="H968" s="28"/>
      <c r="I968" s="29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</row>
    <row r="969" spans="1:25" ht="13" x14ac:dyDescent="0.15">
      <c r="A969" s="24"/>
      <c r="B969" s="25"/>
      <c r="C969" s="25"/>
      <c r="D969" s="26"/>
      <c r="H969" s="28"/>
      <c r="I969" s="29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</row>
    <row r="970" spans="1:25" ht="13" x14ac:dyDescent="0.15">
      <c r="A970" s="24"/>
      <c r="B970" s="25"/>
      <c r="C970" s="25"/>
      <c r="D970" s="26"/>
      <c r="H970" s="28"/>
      <c r="I970" s="29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</row>
    <row r="971" spans="1:25" ht="13" x14ac:dyDescent="0.15">
      <c r="A971" s="24"/>
      <c r="B971" s="25"/>
      <c r="C971" s="25"/>
      <c r="D971" s="26"/>
      <c r="H971" s="28"/>
      <c r="I971" s="29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</row>
    <row r="972" spans="1:25" ht="13" x14ac:dyDescent="0.15">
      <c r="A972" s="24"/>
      <c r="B972" s="25"/>
      <c r="C972" s="25"/>
      <c r="D972" s="26"/>
      <c r="H972" s="28"/>
      <c r="I972" s="29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</row>
    <row r="973" spans="1:25" ht="13" x14ac:dyDescent="0.15">
      <c r="A973" s="24"/>
      <c r="B973" s="25"/>
      <c r="C973" s="25"/>
      <c r="D973" s="26"/>
      <c r="H973" s="28"/>
      <c r="I973" s="29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</row>
    <row r="974" spans="1:25" ht="13" x14ac:dyDescent="0.15">
      <c r="A974" s="24"/>
      <c r="B974" s="25"/>
      <c r="C974" s="25"/>
      <c r="D974" s="26"/>
      <c r="H974" s="28"/>
      <c r="I974" s="29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</row>
    <row r="975" spans="1:25" ht="13" x14ac:dyDescent="0.15">
      <c r="A975" s="24"/>
      <c r="B975" s="25"/>
      <c r="C975" s="25"/>
      <c r="D975" s="26"/>
      <c r="H975" s="28"/>
      <c r="I975" s="29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</row>
    <row r="976" spans="1:25" ht="13" x14ac:dyDescent="0.15">
      <c r="A976" s="24"/>
      <c r="B976" s="25"/>
      <c r="C976" s="25"/>
      <c r="D976" s="26"/>
      <c r="H976" s="28"/>
      <c r="I976" s="29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</row>
    <row r="977" spans="1:25" ht="13" x14ac:dyDescent="0.15">
      <c r="A977" s="24"/>
      <c r="B977" s="25"/>
      <c r="C977" s="25"/>
      <c r="D977" s="26"/>
      <c r="H977" s="28"/>
      <c r="I977" s="29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</row>
    <row r="978" spans="1:25" ht="13" x14ac:dyDescent="0.15">
      <c r="A978" s="24"/>
      <c r="B978" s="25"/>
      <c r="C978" s="25"/>
      <c r="D978" s="26"/>
      <c r="H978" s="28"/>
      <c r="I978" s="29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</row>
    <row r="979" spans="1:25" ht="13" x14ac:dyDescent="0.15">
      <c r="A979" s="24"/>
      <c r="B979" s="25"/>
      <c r="C979" s="25"/>
      <c r="D979" s="26"/>
      <c r="H979" s="28"/>
      <c r="I979" s="29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</row>
    <row r="980" spans="1:25" ht="13" x14ac:dyDescent="0.15">
      <c r="A980" s="24"/>
      <c r="B980" s="25"/>
      <c r="C980" s="25"/>
      <c r="D980" s="26"/>
      <c r="H980" s="28"/>
      <c r="I980" s="29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</row>
    <row r="981" spans="1:25" ht="13" x14ac:dyDescent="0.15">
      <c r="A981" s="24"/>
      <c r="B981" s="25"/>
      <c r="C981" s="25"/>
      <c r="D981" s="26"/>
      <c r="H981" s="28"/>
      <c r="I981" s="29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</row>
    <row r="982" spans="1:25" ht="13" x14ac:dyDescent="0.15">
      <c r="A982" s="24"/>
      <c r="B982" s="25"/>
      <c r="C982" s="25"/>
      <c r="D982" s="26"/>
      <c r="H982" s="28"/>
      <c r="I982" s="29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</row>
    <row r="983" spans="1:25" ht="15.75" customHeight="1" x14ac:dyDescent="0.15">
      <c r="A983" s="24"/>
      <c r="B983" s="25"/>
      <c r="C983" s="25"/>
      <c r="D983" s="26"/>
      <c r="H983" s="28"/>
      <c r="I983" s="29"/>
      <c r="J983" s="25"/>
      <c r="K983" s="25"/>
      <c r="L983" s="25"/>
      <c r="M983" s="25"/>
      <c r="N983" s="25"/>
      <c r="O983" s="25"/>
      <c r="P983" s="25"/>
      <c r="Q983" s="25"/>
      <c r="R983" s="25"/>
      <c r="S983" s="25"/>
    </row>
    <row r="984" spans="1:25" ht="15.75" customHeight="1" x14ac:dyDescent="0.15">
      <c r="A984" s="24"/>
      <c r="B984" s="25"/>
      <c r="C984" s="25"/>
      <c r="D984" s="26"/>
      <c r="H984" s="28"/>
      <c r="I984" s="29"/>
      <c r="J984" s="25"/>
      <c r="K984" s="25"/>
      <c r="L984" s="25"/>
      <c r="M984" s="25"/>
      <c r="N984" s="25"/>
      <c r="O984" s="25"/>
      <c r="P984" s="25"/>
      <c r="Q984" s="25"/>
      <c r="R984" s="25"/>
      <c r="S984" s="25"/>
    </row>
    <row r="985" spans="1:25" ht="15.75" customHeight="1" x14ac:dyDescent="0.15">
      <c r="A985" s="24"/>
      <c r="B985" s="25"/>
      <c r="C985" s="25"/>
      <c r="D985" s="26"/>
      <c r="H985" s="28"/>
      <c r="I985" s="29"/>
      <c r="J985" s="25"/>
      <c r="K985" s="25"/>
      <c r="L985" s="25"/>
      <c r="M985" s="25"/>
      <c r="N985" s="25"/>
      <c r="O985" s="25"/>
      <c r="P985" s="25"/>
      <c r="Q985" s="25"/>
      <c r="R985" s="25"/>
      <c r="S985" s="25"/>
    </row>
    <row r="986" spans="1:25" ht="15.75" customHeight="1" x14ac:dyDescent="0.15">
      <c r="A986" s="24"/>
      <c r="B986" s="25"/>
      <c r="C986" s="25"/>
      <c r="D986" s="26"/>
      <c r="H986" s="28"/>
      <c r="I986" s="29"/>
      <c r="J986" s="25"/>
      <c r="K986" s="25"/>
      <c r="L986" s="25"/>
      <c r="M986" s="25"/>
      <c r="N986" s="25"/>
      <c r="O986" s="25"/>
      <c r="P986" s="25"/>
      <c r="Q986" s="25"/>
      <c r="R986" s="25"/>
      <c r="S986" s="25"/>
    </row>
    <row r="987" spans="1:25" ht="15.75" customHeight="1" x14ac:dyDescent="0.15">
      <c r="A987" s="24"/>
      <c r="B987" s="25"/>
      <c r="C987" s="25"/>
      <c r="D987" s="26"/>
      <c r="H987" s="28"/>
      <c r="I987" s="29"/>
      <c r="J987" s="25"/>
      <c r="K987" s="25"/>
      <c r="L987" s="25"/>
      <c r="M987" s="25"/>
      <c r="N987" s="25"/>
      <c r="O987" s="25"/>
      <c r="P987" s="25"/>
      <c r="Q987" s="25"/>
      <c r="R987" s="25"/>
      <c r="S987" s="25"/>
    </row>
    <row r="988" spans="1:25" ht="15.75" customHeight="1" x14ac:dyDescent="0.15">
      <c r="A988" s="24"/>
      <c r="B988" s="25"/>
      <c r="C988" s="25"/>
      <c r="D988" s="26"/>
      <c r="H988" s="28"/>
      <c r="I988" s="29"/>
      <c r="J988" s="25"/>
      <c r="K988" s="25"/>
      <c r="L988" s="25"/>
      <c r="M988" s="25"/>
      <c r="N988" s="25"/>
      <c r="O988" s="25"/>
      <c r="P988" s="25"/>
      <c r="Q988" s="25"/>
      <c r="R988" s="25"/>
      <c r="S988" s="25"/>
    </row>
    <row r="989" spans="1:25" ht="15.75" customHeight="1" x14ac:dyDescent="0.15">
      <c r="A989" s="24"/>
      <c r="B989" s="25"/>
      <c r="C989" s="25"/>
      <c r="D989" s="26"/>
      <c r="H989" s="28"/>
      <c r="I989" s="29"/>
      <c r="J989" s="25"/>
      <c r="K989" s="25"/>
      <c r="L989" s="25"/>
      <c r="M989" s="25"/>
      <c r="N989" s="25"/>
      <c r="O989" s="25"/>
      <c r="P989" s="25"/>
      <c r="Q989" s="25"/>
      <c r="R989" s="25"/>
      <c r="S989" s="25"/>
    </row>
    <row r="990" spans="1:25" ht="15.75" customHeight="1" x14ac:dyDescent="0.15">
      <c r="A990" s="24"/>
      <c r="B990" s="25"/>
      <c r="C990" s="25"/>
      <c r="D990" s="26"/>
      <c r="H990" s="28"/>
      <c r="I990" s="29"/>
      <c r="J990" s="25"/>
      <c r="K990" s="25"/>
      <c r="L990" s="25"/>
      <c r="M990" s="25"/>
      <c r="N990" s="25"/>
      <c r="O990" s="25"/>
      <c r="P990" s="25"/>
      <c r="Q990" s="25"/>
      <c r="R990" s="25"/>
      <c r="S990" s="25"/>
    </row>
    <row r="991" spans="1:25" ht="15.75" customHeight="1" x14ac:dyDescent="0.15">
      <c r="A991" s="24"/>
      <c r="B991" s="25"/>
      <c r="C991" s="25"/>
      <c r="D991" s="26"/>
      <c r="H991" s="28"/>
      <c r="I991" s="29"/>
      <c r="J991" s="25"/>
      <c r="K991" s="25"/>
      <c r="L991" s="25"/>
      <c r="M991" s="25"/>
      <c r="N991" s="25"/>
      <c r="O991" s="25"/>
      <c r="P991" s="25"/>
      <c r="Q991" s="25"/>
      <c r="R991" s="25"/>
      <c r="S991" s="25"/>
    </row>
    <row r="992" spans="1:25" ht="15.75" customHeight="1" x14ac:dyDescent="0.15">
      <c r="A992" s="24"/>
      <c r="B992" s="25"/>
      <c r="C992" s="25"/>
      <c r="D992" s="26"/>
      <c r="H992" s="28"/>
      <c r="I992" s="29"/>
      <c r="J992" s="25"/>
      <c r="K992" s="25"/>
      <c r="L992" s="25"/>
      <c r="M992" s="25"/>
      <c r="N992" s="25"/>
      <c r="O992" s="25"/>
      <c r="P992" s="25"/>
      <c r="Q992" s="25"/>
      <c r="R992" s="25"/>
      <c r="S992" s="25"/>
    </row>
    <row r="993" spans="1:19" ht="15.75" customHeight="1" x14ac:dyDescent="0.15">
      <c r="A993" s="24"/>
      <c r="B993" s="25"/>
      <c r="C993" s="25"/>
      <c r="D993" s="26"/>
      <c r="H993" s="28"/>
      <c r="I993" s="29"/>
      <c r="J993" s="25"/>
      <c r="K993" s="25"/>
      <c r="L993" s="25"/>
      <c r="M993" s="25"/>
      <c r="N993" s="25"/>
      <c r="O993" s="25"/>
      <c r="P993" s="25"/>
      <c r="Q993" s="25"/>
      <c r="R993" s="25"/>
      <c r="S993" s="25"/>
    </row>
    <row r="994" spans="1:19" ht="15.75" customHeight="1" x14ac:dyDescent="0.15">
      <c r="A994" s="24"/>
      <c r="B994" s="25"/>
      <c r="C994" s="25"/>
      <c r="D994" s="26"/>
      <c r="H994" s="28"/>
      <c r="I994" s="29"/>
      <c r="J994" s="25"/>
      <c r="K994" s="25"/>
      <c r="L994" s="25"/>
      <c r="M994" s="25"/>
      <c r="N994" s="25"/>
      <c r="O994" s="25"/>
      <c r="P994" s="25"/>
      <c r="Q994" s="25"/>
      <c r="R994" s="25"/>
      <c r="S994" s="25"/>
    </row>
    <row r="995" spans="1:19" ht="15.75" customHeight="1" x14ac:dyDescent="0.15">
      <c r="A995" s="24"/>
      <c r="B995" s="25"/>
      <c r="C995" s="25"/>
      <c r="D995" s="26"/>
      <c r="H995" s="28"/>
      <c r="I995" s="29"/>
      <c r="J995" s="25"/>
      <c r="K995" s="25"/>
      <c r="L995" s="25"/>
      <c r="M995" s="25"/>
      <c r="N995" s="25"/>
      <c r="O995" s="25"/>
      <c r="P995" s="25"/>
      <c r="Q995" s="25"/>
      <c r="R995" s="25"/>
      <c r="S995" s="25"/>
    </row>
    <row r="996" spans="1:19" ht="15.75" customHeight="1" x14ac:dyDescent="0.15">
      <c r="A996" s="24"/>
      <c r="B996" s="25"/>
      <c r="C996" s="25"/>
      <c r="D996" s="26"/>
      <c r="H996" s="28"/>
      <c r="I996" s="29"/>
      <c r="J996" s="25"/>
      <c r="K996" s="25"/>
      <c r="L996" s="25"/>
      <c r="M996" s="25"/>
      <c r="N996" s="25"/>
      <c r="O996" s="25"/>
      <c r="P996" s="25"/>
      <c r="Q996" s="25"/>
      <c r="R996" s="25"/>
      <c r="S996" s="25"/>
    </row>
    <row r="997" spans="1:19" ht="15.75" customHeight="1" x14ac:dyDescent="0.15">
      <c r="A997" s="24"/>
      <c r="B997" s="25"/>
      <c r="C997" s="25"/>
      <c r="D997" s="26"/>
      <c r="H997" s="28"/>
      <c r="I997" s="29"/>
      <c r="J997" s="25"/>
      <c r="K997" s="25"/>
      <c r="L997" s="25"/>
      <c r="M997" s="25"/>
      <c r="N997" s="25"/>
      <c r="O997" s="25"/>
      <c r="P997" s="25"/>
      <c r="Q997" s="25"/>
      <c r="R997" s="25"/>
      <c r="S997" s="25"/>
    </row>
    <row r="998" spans="1:19" ht="15.75" customHeight="1" x14ac:dyDescent="0.15">
      <c r="A998" s="24"/>
      <c r="B998" s="25"/>
      <c r="C998" s="25"/>
      <c r="D998" s="26"/>
      <c r="H998" s="28"/>
      <c r="I998" s="29"/>
      <c r="J998" s="25"/>
      <c r="K998" s="25"/>
      <c r="L998" s="25"/>
      <c r="M998" s="25"/>
      <c r="N998" s="25"/>
      <c r="O998" s="25"/>
      <c r="P998" s="25"/>
      <c r="Q998" s="25"/>
      <c r="R998" s="25"/>
      <c r="S998" s="25"/>
    </row>
    <row r="999" spans="1:19" ht="15.75" customHeight="1" x14ac:dyDescent="0.15">
      <c r="A999" s="24"/>
      <c r="B999" s="25"/>
      <c r="C999" s="25"/>
      <c r="D999" s="26"/>
      <c r="H999" s="28"/>
      <c r="I999" s="29"/>
      <c r="J999" s="25"/>
      <c r="K999" s="25"/>
      <c r="L999" s="25"/>
      <c r="M999" s="25"/>
      <c r="N999" s="25"/>
      <c r="O999" s="25"/>
      <c r="P999" s="25"/>
      <c r="Q999" s="25"/>
      <c r="R999" s="25"/>
      <c r="S999" s="25"/>
    </row>
    <row r="1000" spans="1:19" ht="15.75" customHeight="1" x14ac:dyDescent="0.15">
      <c r="A1000" s="24"/>
      <c r="B1000" s="25"/>
      <c r="C1000" s="25"/>
      <c r="D1000" s="26"/>
      <c r="H1000" s="28"/>
      <c r="I1000" s="29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</row>
    <row r="1001" spans="1:19" ht="15.75" customHeight="1" x14ac:dyDescent="0.15">
      <c r="A1001" s="24"/>
      <c r="B1001" s="25"/>
      <c r="C1001" s="25"/>
      <c r="D1001" s="26"/>
      <c r="H1001" s="28"/>
      <c r="I1001" s="29"/>
      <c r="J1001" s="25"/>
      <c r="K1001" s="25"/>
      <c r="L1001" s="25"/>
      <c r="M1001" s="25"/>
      <c r="N1001" s="25"/>
      <c r="O1001" s="25"/>
      <c r="P1001" s="25"/>
      <c r="Q1001" s="25"/>
      <c r="R1001" s="25"/>
      <c r="S1001" s="25"/>
    </row>
  </sheetData>
  <conditionalFormatting sqref="A5:S67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981">
    <cfRule type="expression" dxfId="2" priority="41">
      <formula>AND($K87&lt;&gt;"", $K87&lt;TODAY()-7)</formula>
    </cfRule>
    <cfRule type="expression" dxfId="1" priority="42">
      <formula>AND($K87&lt;&gt;"", $K87&lt;TODAY(), $L87&gt;=TODAY()-7)</formula>
    </cfRule>
  </conditionalFormatting>
  <conditionalFormatting sqref="T68:Y982">
    <cfRule type="expression" dxfId="0" priority="44">
      <formula>AND($K87&lt;&gt;"", $K87=TODAY())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8" xr:uid="{00000000-0002-0000-0000-000001000000}">
      <formula1>"Verbund Pflegehilfe,Pflegehelfer 24,Empfehlung,Sonstiges,Pflegedienst,Pflegestützpunkt"</formula1>
    </dataValidation>
    <dataValidation type="list" allowBlank="1" showErrorMessage="1" sqref="B5:B79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F3" sqref="F3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248</v>
      </c>
      <c r="B1" s="4" t="s">
        <v>19</v>
      </c>
      <c r="C1" s="4" t="s">
        <v>249</v>
      </c>
      <c r="D1" s="4" t="s">
        <v>98</v>
      </c>
      <c r="E1" s="4" t="s">
        <v>231</v>
      </c>
      <c r="F1" s="4" t="s">
        <v>250</v>
      </c>
      <c r="G1" s="4" t="s">
        <v>251</v>
      </c>
      <c r="H1" s="4" t="s">
        <v>252</v>
      </c>
      <c r="I1" s="4" t="s">
        <v>253</v>
      </c>
      <c r="K1" s="5"/>
      <c r="L1" s="5"/>
      <c r="M1" s="5"/>
      <c r="N1" s="1"/>
    </row>
    <row r="2" spans="1:17" ht="22.5" customHeight="1" x14ac:dyDescent="0.15">
      <c r="A2" s="6" t="s">
        <v>39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COUNTIF(Pipeline!M5:M1007, "Ja")</f>
        <v>10</v>
      </c>
      <c r="K2" s="5"/>
      <c r="L2" s="5"/>
      <c r="M2" s="5"/>
    </row>
    <row r="3" spans="1:17" ht="22.5" customHeight="1" x14ac:dyDescent="0.15">
      <c r="A3" s="9" t="s">
        <v>76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COUNTIF(Pipeline!M5:M1007, "Laufend")</f>
        <v>12</v>
      </c>
      <c r="K3" s="5"/>
      <c r="L3" s="5"/>
      <c r="M3" s="5"/>
    </row>
    <row r="4" spans="1:17" ht="22.5" customHeight="1" x14ac:dyDescent="0.15">
      <c r="A4" s="6" t="s">
        <v>30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COUNTIF(Pipeline!M5:M1007,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254</v>
      </c>
      <c r="B7" s="4" t="s">
        <v>46</v>
      </c>
      <c r="C7" s="4" t="s">
        <v>77</v>
      </c>
      <c r="D7" s="4" t="s">
        <v>18</v>
      </c>
      <c r="E7" s="4" t="s">
        <v>65</v>
      </c>
      <c r="F7" s="4" t="s">
        <v>255</v>
      </c>
      <c r="G7" s="4" t="s">
        <v>24</v>
      </c>
      <c r="H7" s="4" t="s">
        <v>252</v>
      </c>
      <c r="K7" s="5"/>
      <c r="L7" s="5"/>
      <c r="M7" s="5"/>
    </row>
    <row r="8" spans="1:17" ht="22.5" customHeight="1" x14ac:dyDescent="0.15">
      <c r="A8" s="14" t="s">
        <v>253</v>
      </c>
      <c r="B8" s="15">
        <f>COUNTIF(Pipeline!B5:B1007,"Lead erhalten")</f>
        <v>8</v>
      </c>
      <c r="C8" s="15">
        <f>COUNTIF(Pipeline!B5:B1007,"Nicht erreicht")</f>
        <v>2</v>
      </c>
      <c r="D8" s="15">
        <f>COUNTIF(Pipeline!B5:B1007,"Standby nach Anruf")</f>
        <v>8</v>
      </c>
      <c r="E8" s="15">
        <f>COUNTIF(Pipeline!B5:B1007,"Ersttermin")</f>
        <v>4</v>
      </c>
      <c r="F8" s="15">
        <f>COUNTIF(Pipeline!B5:B1007,"Standby nach Ersttermin")</f>
        <v>0</v>
      </c>
      <c r="G8" s="15">
        <f>COUNTIF(Pipeline!B5:B1007,"Geschlossen")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256</v>
      </c>
      <c r="B9" s="15" t="str">
        <f>ROUND(COUNTIF(Pipeline!B5:B1007,"Lead erhalten") / COUNTA(Pipeline!B5:B1007) * 100,1) &amp; "%"</f>
        <v>12,7%</v>
      </c>
      <c r="C9" s="15" t="str">
        <f>ROUND(COUNTIF(Pipeline!B5:B1007,"Nicht erreicht") / COUNTA(Pipeline!B5:B1007) * 100,1) &amp; "%"</f>
        <v>3,2%</v>
      </c>
      <c r="D9" s="15" t="str">
        <f>ROUND(COUNTIF(Pipeline!B5:B1007,"Standby nach Anruf") / COUNTA(Pipeline!B5:B1007) * 100,1) &amp; "%"</f>
        <v>12,7%</v>
      </c>
      <c r="E9" s="15" t="str">
        <f>ROUND(COUNTIF(Pipeline!B5:B1007,"Ersttermin") / COUNTA(Pipeline!B5:B1007) * 100,1) &amp; "%"</f>
        <v>6,3%</v>
      </c>
      <c r="F9" s="15" t="str">
        <f>ROUND(COUNTIF(Pipeline!B5:B1007,"Standby nach Ersttermin") / COUNTA(Pipeline!B5:B1007) * 100,1) &amp; "%"</f>
        <v>0%</v>
      </c>
      <c r="G9" s="15" t="str">
        <f>ROUND(COUNTIF(Pipeline!B5:B1007,"Geschlossen") / COUNTA(Pipeline!B5:B1007)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257</v>
      </c>
      <c r="B12" s="23" t="s">
        <v>258</v>
      </c>
      <c r="C12" s="16" t="s">
        <v>259</v>
      </c>
      <c r="D12" s="16" t="s">
        <v>260</v>
      </c>
      <c r="E12" s="16" t="s">
        <v>261</v>
      </c>
      <c r="F12" s="16" t="s">
        <v>262</v>
      </c>
      <c r="G12" s="16" t="s">
        <v>263</v>
      </c>
      <c r="H12" s="16" t="s">
        <v>264</v>
      </c>
      <c r="I12" s="16" t="s">
        <v>265</v>
      </c>
      <c r="J12" s="16" t="s">
        <v>266</v>
      </c>
      <c r="K12" s="16" t="s">
        <v>267</v>
      </c>
      <c r="L12" s="16" t="s">
        <v>268</v>
      </c>
      <c r="M12" s="16" t="s">
        <v>269</v>
      </c>
      <c r="N12" s="4" t="s">
        <v>252</v>
      </c>
      <c r="O12" s="5"/>
      <c r="P12" s="17" t="s">
        <v>270</v>
      </c>
      <c r="Q12" s="17" t="s">
        <v>252</v>
      </c>
    </row>
    <row r="13" spans="1:17" ht="22.5" customHeight="1" x14ac:dyDescent="0.15">
      <c r="A13" s="14" t="s">
        <v>271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271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252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77</v>
      </c>
      <c r="C17" s="4" t="s">
        <v>31</v>
      </c>
      <c r="D17" s="4" t="s">
        <v>18</v>
      </c>
      <c r="E17" s="4" t="s">
        <v>65</v>
      </c>
      <c r="F17" s="4" t="s">
        <v>255</v>
      </c>
      <c r="G17" s="4" t="s">
        <v>252</v>
      </c>
      <c r="I17" s="4" t="s">
        <v>272</v>
      </c>
      <c r="J17" s="4" t="s">
        <v>271</v>
      </c>
    </row>
    <row r="18" spans="1:10" ht="22.5" customHeight="1" x14ac:dyDescent="0.15">
      <c r="A18" s="14" t="s">
        <v>253</v>
      </c>
      <c r="B18" s="19">
        <f>COUNTIF(Pipeline!N5:N1007,"Nicht erreicht")</f>
        <v>0</v>
      </c>
      <c r="C18" s="19">
        <f>COUNTIF(Pipeline!N5:N1007,"Erst Telefonat")</f>
        <v>19</v>
      </c>
      <c r="D18" s="19">
        <f>COUNTIF(Pipeline!N5:N1007,"Standby nach Anruf")</f>
        <v>2</v>
      </c>
      <c r="E18" s="19">
        <f>COUNTIF(Pipeline!N5:N1007,"Ersttermin")</f>
        <v>4</v>
      </c>
      <c r="F18" s="19">
        <f>COUNTIF(Pipeline!N5:N1007,"Standby nach Ersttermin")</f>
        <v>0</v>
      </c>
      <c r="G18" s="14">
        <f>SUM(B18:F18)</f>
        <v>25</v>
      </c>
      <c r="I18" s="14" t="s">
        <v>256</v>
      </c>
      <c r="J18" s="19" t="str">
        <f>ROUND(COUNTIFS(Pipeline!C5:C1007,"Verbund Pflegehilfe",Pipeline!Q5:Q1007,"JA") / COUNTIF(Pipeline!C5:C1007,"Verbund Pflegehilfe") * 100,1) &amp; "%"</f>
        <v>40,5%</v>
      </c>
    </row>
    <row r="19" spans="1:10" ht="22.5" customHeight="1" x14ac:dyDescent="0.15">
      <c r="A19" s="14" t="s">
        <v>256</v>
      </c>
      <c r="B19" s="15" t="str">
        <f>ROUND(B18/SUM(B18:F18)*100,1) &amp; "%"</f>
        <v>0%</v>
      </c>
      <c r="C19" s="15" t="str">
        <f t="shared" ref="C19:F19" si="2">ROUND(C18/SUM($B$18:$F$18)*100,1)&amp; "%"</f>
        <v>76%</v>
      </c>
      <c r="D19" s="15" t="str">
        <f t="shared" si="2"/>
        <v>8%</v>
      </c>
      <c r="E19" s="15" t="str">
        <f t="shared" si="2"/>
        <v>16%</v>
      </c>
      <c r="F19" s="15" t="str">
        <f t="shared" si="2"/>
        <v>0%</v>
      </c>
      <c r="G19" s="15"/>
    </row>
    <row r="22" spans="1:10" ht="22.5" customHeight="1" x14ac:dyDescent="0.15">
      <c r="A22" s="4" t="s">
        <v>273</v>
      </c>
      <c r="B22" s="4" t="s">
        <v>5</v>
      </c>
      <c r="C22" s="4" t="s">
        <v>253</v>
      </c>
    </row>
    <row r="23" spans="1:10" ht="22.5" customHeight="1" x14ac:dyDescent="0.15">
      <c r="A23" s="19" t="s">
        <v>274</v>
      </c>
      <c r="B23" s="21" t="s">
        <v>275</v>
      </c>
      <c r="C23" s="22">
        <f>COUNTIF(Pipeline!F5:F1007,"80241")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Pipeline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2026-02-02T10:39:32Z</dcterms:modified>
  <cp:category/>
  <cp:contentStatus/>
</cp:coreProperties>
</file>