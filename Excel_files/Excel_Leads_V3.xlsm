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70E4A4FC-A6D7-7E43-9E3D-56F74CD77DA3}" xr6:coauthVersionLast="47" xr6:coauthVersionMax="47" xr10:uidLastSave="{00000000-0000-0000-0000-000000000000}"/>
  <bookViews>
    <workbookView xWindow="39340" yWindow="600" windowWidth="3824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<sst xmlns="http://schemas.openxmlformats.org/spreadsheetml/2006/main" count="10822" uniqueCount="7197">
  <si>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</si>
  <si>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</si>
  <si>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</si>
  <si>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</si>
  <si>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</si>
  <si>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</si>
  <si>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</si>
  <si>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</si>
  <si>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</si>
  <si>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</si>
  <si>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</si>
  <si>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</si>
  <si>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</si>
  <si>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</si>
  <si>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</si>
  <si>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</si>
  <si>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</si>
  <si>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</si>
  <si>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</si>
  <si>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</si>
  <si>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</si>
  <si>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</si>
  <si>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</si>
  <si>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</si>
  <si>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</si>
  <si>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</si>
  <si>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</si>
  <si>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</si>
  <si>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</si>
  <si>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</si>
  <si>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</si>
  <si>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</si>
  <si>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</si>
  <si>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</si>
  <si>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</si>
  <si>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</si>
  <si>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</si>
  <si>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</si>
  <si>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</si>
  <si>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</si>
  <si>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</si>
  <si>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</si>
  <si>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</si>
  <si>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</si>
  <si>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</si>
  <si>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</si>
  <si>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</si>
  <si>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</si>
  <si>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</si>
  <si>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</si>
  <si>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</si>
  <si>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</si>
  <si>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</si>
  <si>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</si>
  <si>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</si>
  <si>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</si>
  <si>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</si>
  <si>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</si>
  <si>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</si>
  <si>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</si>
  <si>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</si>
  <si>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</si>
  <si>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</si>
  <si>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</si>
  <si>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</si>
  <si>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</si>
  <si>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</si>
  <si>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</si>
  <si>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</si>
  <si>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</si>
  <si>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</si>
  <si>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</si>
  <si>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</si>
  <si>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</si>
  <si>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</si>
  <si>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</si>
  <si>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</si>
  <si>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</si>
  <si>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</si>
  <si>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</si>
  <si>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</si>
  <si>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</si>
  <si>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</si>
  <si>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</si>
  <si>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</si>
  <si>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</si>
  <si>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</si>
  <si>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</si>
  <si>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</si>
  <si>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</si>
  <si>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</si>
  <si>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</si>
  <si>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</si>
  <si>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</si>
  <si>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</si>
  <si>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</si>
  <si>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</si>
  <si>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</si>
  <si>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</si>
  <si>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</si>
  <si>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</si>
  <si>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</si>
  <si>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</si>
  <si>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</si>
  <si>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</si>
  <si>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</si>
  <si>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</si>
  <si>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</si>
  <si>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</si>
  <si>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</si>
  <si>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</si>
  <si>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</si>
  <si>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</si>
  <si>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</si>
  <si>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</si>
  <si>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</si>
  <si>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</si>
  <si>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</si>
  <si>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</si>
  <si>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</si>
  <si>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</si>
  <si>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</si>
  <si>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</si>
  <si>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</si>
  <si>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</si>
  <si>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</si>
  <si>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</si>
  <si>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</si>
  <si>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</si>
  <si>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</si>
  <si>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</si>
  <si>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</si>
  <si>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</si>
  <si>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</si>
  <si>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</si>
  <si>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</si>
  <si>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</si>
  <si>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</si>
  <si>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</si>
  <si>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</si>
  <si>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</si>
  <si>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</si>
  <si>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</si>
  <si>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</si>
  <si>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</si>
  <si>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</si>
  <si>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</si>
  <si>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</si>
  <si>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</si>
  <si>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</si>
  <si>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</si>
  <si>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</si>
  <si>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</si>
  <si>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</si>
  <si>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</si>
  <si>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</si>
  <si>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</si>
  <si>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</si>
  <si>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</si>
  <si>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</si>
  <si>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</si>
  <si>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</si>
  <si>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</si>
  <si>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</si>
  <si>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</si>
  <si>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</si>
  <si>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</si>
  <si>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</si>
  <si>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</si>
  <si>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</si>
  <si>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</si>
  <si>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</si>
  <si>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</si>
  <si>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</si>
  <si>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</si>
  <si>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</si>
  <si>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</si>
  <si>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</si>
  <si>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</si>
  <si>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</si>
  <si>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</si>
  <si>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</si>
  <si>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</si>
  <si>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</si>
  <si>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</si>
  <si>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</si>
  <si>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</si>
  <si>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</si>
  <si>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</si>
  <si>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</si>
  <si>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</si>
  <si>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</si>
  <si>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</si>
  <si>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</si>
  <si>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</si>
  <si>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</si>
  <si>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</si>
  <si>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</si>
  <si>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</si>
  <si>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</si>
  <si>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</si>
  <si>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</si>
  <si>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</si>
  <si>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</si>
  <si>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</si>
  <si>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</si>
  <si>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</si>
  <si>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</si>
  <si>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</si>
  <si>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</si>
  <si>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</si>
  <si>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</si>
  <si>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</si>
  <si>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</si>
  <si>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</si>
  <si>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</si>
  <si>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</si>
  <si>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</si>
  <si>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</si>
  <si>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</si>
  <si>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</si>
  <si>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</si>
  <si>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</si>
  <si>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</si>
  <si>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</si>
  <si>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</si>
  <si>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</si>
  <si>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</si>
  <si>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</si>
  <si>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</si>
  <si>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</si>
  <si>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</si>
  <si>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</si>
  <si>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</si>
  <si>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</si>
  <si>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</si>
  <si>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</si>
  <si>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</si>
  <si>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</si>
  <si>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</si>
  <si>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</si>
  <si>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</si>
  <si>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</si>
  <si>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</si>
  <si>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</si>
  <si>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</si>
  <si>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</si>
  <si>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</si>
  <si>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</si>
  <si>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</si>
  <si>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</si>
  <si>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</si>
  <si>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</si>
  <si>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</si>
  <si>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</si>
  <si>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</si>
  <si>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</si>
  <si>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</si>
  <si>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</si>
  <si>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</si>
  <si>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</si>
  <si>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</si>
  <si>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</si>
  <si>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</si>
  <si>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</si>
  <si>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</si>
  <si>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</si>
  <si>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</si>
  <si>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</si>
  <si>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</si>
  <si>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</si>
  <si>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</si>
  <si>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</si>
  <si>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</si>
  <si>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</si>
  <si>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</si>
  <si>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</si>
  <si>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</si>
  <si>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</si>
  <si>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</si>
  <si>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</si>
  <si>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</si>
  <si>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</si>
  <si>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</si>
  <si>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</si>
  <si>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</si>
  <si>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</si>
  <si>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</si>
  <si>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</si>
  <si>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</si>
  <si>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</si>
  <si>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</si>
  <si>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</si>
  <si>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</si>
  <si>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</si>
  <si>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</si>
  <si>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</si>
  <si>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</si>
  <si>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</si>
  <si>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</si>
  <si>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</si>
  <si>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</si>
  <si>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</si>
  <si>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</si>
  <si>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</si>
  <si>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</si>
  <si>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</si>
  <si>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</si>
  <si>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</si>
  <si>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</si>
  <si>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</si>
  <si>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</si>
  <si>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</si>
  <si>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</si>
  <si>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</si>
  <si>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</si>
  <si>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</si>
  <si>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</si>
  <si>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</si>
  <si>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</si>
  <si>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</si>
  <si>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</si>
  <si>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</si>
  <si>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</si>
  <si>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</si>
  <si>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</si>
  <si>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</si>
  <si>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</si>
  <si>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</si>
  <si>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</si>
  <si>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</si>
  <si>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</si>
  <si>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</si>
  <si>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</si>
  <si>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</si>
  <si>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</si>
  <si>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</si>
  <si>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</si>
  <si>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</si>
  <si>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</si>
  <si>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</si>
  <si>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</si>
  <si>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</si>
  <si>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</si>
  <si>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</si>
  <si>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</si>
  <si>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</si>
  <si>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</si>
  <si>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</si>
  <si>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</si>
  <si>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</si>
  <si>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</si>
  <si>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</si>
  <si>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</si>
  <si>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</si>
  <si>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</si>
  <si>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</si>
  <si>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</si>
  <si>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</si>
  <si>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</si>
  <si>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</si>
  <si>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</si>
  <si>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</si>
  <si>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</si>
  <si>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</si>
  <si>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</si>
  <si>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</si>
  <si>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</si>
  <si>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</si>
  <si>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</si>
  <si>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</si>
  <si>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</si>
  <si>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</si>
  <si>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</si>
  <si>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</si>
  <si>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</si>
  <si>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</si>
  <si>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</si>
  <si>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</si>
  <si>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</si>
  <si>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</si>
  <si>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</si>
  <si>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</si>
  <si>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</si>
  <si>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</si>
  <si>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</si>
  <si>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</si>
  <si>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</si>
  <si>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</si>
  <si>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</si>
  <si>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</si>
  <si>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</si>
  <si>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</si>
  <si>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</si>
  <si>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</si>
  <si>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</si>
  <si>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</si>
  <si>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</si>
  <si>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</si>
  <si>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</si>
  <si>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</si>
  <si>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</si>
  <si>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</si>
  <si>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</si>
  <si>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</si>
  <si>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</si>
  <si>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</si>
  <si>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</si>
  <si>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</si>
  <si>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</si>
  <si>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</si>
  <si>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</si>
  <si>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</si>
  <si>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</si>
  <si>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</si>
  <si>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</si>
  <si>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</si>
  <si>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</si>
  <si>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</si>
  <si>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</si>
  <si>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</si>
  <si>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</si>
  <si>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</si>
  <si>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</si>
  <si>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</si>
  <si>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</si>
  <si>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</si>
  <si>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</si>
  <si>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</si>
  <si>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</si>
  <si>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</si>
  <si>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</si>
  <si>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</si>
  <si>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</si>
  <si>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</si>
  <si>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</si>
  <si>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</si>
  <si>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</si>
  <si>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</si>
  <si>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</si>
  <si>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</si>
  <si>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</si>
  <si>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</si>
  <si>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</si>
  <si>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</si>
  <si>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</si>
  <si>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</si>
  <si>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</si>
  <si>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</si>
  <si>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</si>
  <si>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</si>
  <si>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</si>
  <si>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</si>
  <si>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</si>
  <si>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</si>
  <si>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</si>
  <si>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</si>
  <si>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</si>
  <si>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</si>
  <si>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</si>
  <si>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</si>
  <si>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</si>
  <si>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</si>
  <si>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</si>
  <si>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</si>
  <si>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</si>
  <si>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</si>
  <si>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</si>
  <si>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</si>
  <si>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</si>
  <si>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</si>
  <si>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</si>
  <si>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</si>
  <si>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</si>
  <si>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</si>
  <si>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</si>
  <si>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</si>
  <si>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</si>
  <si>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</si>
  <si>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</si>
  <si>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</si>
  <si>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</si>
  <si>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</si>
  <si>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</si>
  <si>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</si>
  <si>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</si>
  <si>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</si>
  <si>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</si>
  <si>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</si>
  <si>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</si>
  <si>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</si>
  <si>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</si>
  <si>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</si>
  <si>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</si>
  <si>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</si>
  <si>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</si>
  <si>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</si>
  <si>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</si>
  <si>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</si>
  <si>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</si>
  <si>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</si>
  <si>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</si>
  <si>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</si>
  <si>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</si>
  <si>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</si>
  <si>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</si>
  <si>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</si>
  <si>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</si>
  <si>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</si>
  <si>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</si>
  <si>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</si>
  <si>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</si>
  <si>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</si>
  <si>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</si>
  <si>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</si>
  <si>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</si>
  <si>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</si>
  <si>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</si>
  <si>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</si>
  <si>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</si>
  <si>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</si>
  <si>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</si>
  <si>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</si>
  <si>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</si>
  <si>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</si>
  <si>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</si>
  <si>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</si>
  <si>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</si>
  <si>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</si>
  <si>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</si>
  <si>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</si>
  <si>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</si>
  <si>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</si>
  <si>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</si>
  <si>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</si>
  <si>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</si>
  <si>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</si>
  <si>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</si>
  <si>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</si>
  <si>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</si>
  <si>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</si>
  <si>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</si>
  <si>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</si>
  <si>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</si>
  <si>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</si>
  <si>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</si>
  <si>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</si>
  <si>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</si>
  <si>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</si>
  <si>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</si>
  <si>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</si>
  <si>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</si>
  <si>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</si>
  <si>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</si>
  <si>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</si>
  <si>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</si>
  <si>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</si>
  <si>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</si>
  <si>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</si>
  <si>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</si>
  <si>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</si>
  <si>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</si>
  <si>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</si>
  <si>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</si>
  <si>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</si>
  <si>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</si>
  <si>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</si>
  <si>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</si>
  <si>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</si>
  <si>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</si>
  <si>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</si>
  <si>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</si>
  <si>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</si>
  <si>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</si>
  <si>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</si>
  <si>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</si>
  <si>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</si>
  <si>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</si>
  <si>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</si>
  <si>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</si>
  <si>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</si>
  <si>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</si>
  <si>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</si>
  <si>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</si>
  <si>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</si>
  <si>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</si>
  <si>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</si>
  <si>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</si>
  <si>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</si>
  <si>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</si>
  <si>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</si>
  <si>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</si>
  <si>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</si>
  <si>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</si>
  <si>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</si>
  <si>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</si>
  <si>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</si>
  <si>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</si>
  <si>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</si>
  <si>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</si>
  <si>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</si>
  <si>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</si>
  <si>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</si>
  <si>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</si>
  <si>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</si>
  <si>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</si>
  <si>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</si>
  <si>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</si>
  <si>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</si>
  <si>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</si>
  <si>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</si>
  <si>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</si>
  <si>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</si>
  <si>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</si>
  <si>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</si>
  <si>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</si>
  <si>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</si>
  <si>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</si>
  <si>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</si>
  <si>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</si>
  <si>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</si>
  <si>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</si>
  <si>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</si>
  <si>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</si>
  <si>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</si>
  <si>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</si>
  <si>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</si>
  <si>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</si>
  <si>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</si>
  <si>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</si>
  <si>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</si>
  <si>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</si>
  <si>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</si>
  <si>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</si>
  <si>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</si>
  <si>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</si>
  <si>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</si>
  <si>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</si>
  <si>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</si>
  <si>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</si>
  <si>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</si>
  <si>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</si>
  <si>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</si>
  <si>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</si>
  <si>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</si>
  <si>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</si>
  <si>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</si>
  <si>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</si>
  <si>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</si>
  <si>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</si>
  <si>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</si>
  <si>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</si>
  <si>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</si>
  <si>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</si>
  <si>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</si>
  <si>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</si>
  <si>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</si>
  <si>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</si>
  <si>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</si>
  <si>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</si>
  <si>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</si>
  <si>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</si>
  <si>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</si>
  <si>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</si>
  <si>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</si>
  <si>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</si>
  <si>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</si>
  <si>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</si>
  <si>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</si>
  <si>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</si>
  <si>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</si>
  <si>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</si>
  <si>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</si>
  <si>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</si>
  <si>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</si>
  <si>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</si>
  <si>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</si>
  <si>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</si>
  <si>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</si>
  <si>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</si>
  <si>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</si>
  <si>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</si>
  <si>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</si>
  <si>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</si>
  <si>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</si>
  <si>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</si>
  <si>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</si>
  <si>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</si>
  <si>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</si>
  <si>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</si>
  <si>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</si>
  <si>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</si>
  <si>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</si>
  <si>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</si>
  <si>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</si>
  <si>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</si>
  <si>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</si>
  <si>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</si>
  <si>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</si>
  <si>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</si>
  <si>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</si>
  <si>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</si>
  <si>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</si>
  <si>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</si>
  <si>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</si>
  <si>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</si>
  <si>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</si>
  <si>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</si>
  <si>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</si>
  <si>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</si>
  <si>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</si>
  <si>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</si>
  <si>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</si>
  <si>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</si>
  <si>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</si>
  <si>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</si>
  <si>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</si>
  <si>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</si>
  <si>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</si>
  <si>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</si>
  <si>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</si>
  <si>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</si>
  <si>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</si>
  <si>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</si>
  <si>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</si>
  <si>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</si>
  <si>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</si>
  <si>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</si>
  <si>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</si>
  <si>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</si>
  <si>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</si>
  <si>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</si>
  <si>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</si>
  <si>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</si>
  <si>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</si>
  <si>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</si>
  <si>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</si>
  <si>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</si>
  <si>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</si>
  <si>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</si>
  <si>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</si>
  <si>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</si>
  <si>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</si>
  <si>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</si>
  <si>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</si>
  <si>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</si>
  <si>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</si>
  <si>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</si>
  <si>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</si>
  <si>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</si>
  <si>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</si>
  <si>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</si>
  <si>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</si>
  <si>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</si>
  <si>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</si>
  <si>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</si>
  <si>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</si>
  <si>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</si>
  <si>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</si>
  <si>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</si>
  <si>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</si>
  <si>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</si>
  <si>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</si>
  <si>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</si>
  <si>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</si>
  <si>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</si>
  <si>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</si>
  <si>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</si>
  <si>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</si>
  <si>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</si>
  <si>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</si>
  <si>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</si>
  <si>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</si>
  <si>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</si>
  <si>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</si>
  <si>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</si>
  <si>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</si>
  <si>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</si>
  <si>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</si>
  <si>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</si>
  <si>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</si>
  <si>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</si>
  <si>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</si>
  <si>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</si>
  <si>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</si>
  <si>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</si>
  <si>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</si>
  <si>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</si>
  <si>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</si>
  <si>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</si>
  <si>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</si>
  <si>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</si>
  <si>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</si>
  <si>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</si>
  <si>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</si>
  <si>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</si>
  <si>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</si>
  <si>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</si>
  <si>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</si>
  <si>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</si>
  <si>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</si>
  <si>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</si>
  <si>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</si>
  <si>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</si>
  <si>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</si>
  <si>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</si>
  <si>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</si>
  <si>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</si>
  <si>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</si>
  <si>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</si>
  <si>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</si>
  <si>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</si>
  <si>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</si>
  <si>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</si>
  <si>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</si>
  <si>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</si>
  <si>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</si>
  <si>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</si>
  <si>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</si>
  <si>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</si>
  <si>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</si>
  <si>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</si>
  <si>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</si>
  <si>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</si>
  <si>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</si>
  <si>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</si>
  <si>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</si>
  <si>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</si>
  <si>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</si>
  <si>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</si>
  <si>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</si>
  <si>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</si>
  <si>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</si>
  <si>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</si>
  <si>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</si>
  <si>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</si>
  <si>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</si>
  <si>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</si>
  <si>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</si>
  <si>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</si>
  <si>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</si>
  <si>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</si>
  <si>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</si>
  <si>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</si>
  <si>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</si>
  <si>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</si>
  <si>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</si>
  <si>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</si>
  <si>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</si>
  <si>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</si>
  <si>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</si>
  <si>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</si>
  <si>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</si>
  <si>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</si>
  <si>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</si>
  <si>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</si>
  <si>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</si>
  <si>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</si>
  <si>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</si>
  <si>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</si>
  <si>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</si>
  <si>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</si>
  <si>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</si>
  <si>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</si>
  <si>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</si>
  <si>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</si>
  <si>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</si>
  <si>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</si>
  <si>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</si>
  <si>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</si>
  <si>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</si>
  <si>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</si>
  <si>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</si>
  <si>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</si>
  <si>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</si>
  <si>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</si>
  <si>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</si>
  <si>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</si>
  <si>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</si>
  <si>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</si>
  <si>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</si>
  <si>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</si>
  <si>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</si>
  <si>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</si>
  <si>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</si>
  <si>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</si>
  <si>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</si>
  <si>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</si>
  <si>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</si>
  <si>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</si>
  <si>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</si>
  <si>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</si>
  <si>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</si>
  <si>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</si>
  <si>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</si>
  <si>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</si>
  <si>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</si>
  <si>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</si>
  <si>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</si>
  <si>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</si>
  <si>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</si>
  <si>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</si>
  <si>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</si>
  <si>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</si>
  <si>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</si>
  <si>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</si>
  <si>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</si>
  <si>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</si>
  <si>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</si>
  <si>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</si>
  <si>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</si>
  <si>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</si>
  <si>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</si>
  <si>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</si>
  <si>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</si>
  <si>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</si>
  <si>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</si>
  <si>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</si>
  <si>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</si>
  <si>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</si>
  <si>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</si>
  <si>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</si>
  <si>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</si>
  <si>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</si>
  <si>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</si>
  <si>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</si>
  <si>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</si>
  <si>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</si>
  <si>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</si>
  <si>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</si>
  <si>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</si>
  <si>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</si>
  <si>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</si>
  <si>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</si>
  <si>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</si>
  <si>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</si>
  <si>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</si>
  <si>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</si>
  <si>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</si>
  <si>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</si>
  <si>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</si>
  <si>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</si>
  <si>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</si>
  <si>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</si>
  <si>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</si>
  <si>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</si>
  <si>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</si>
  <si>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</si>
  <si>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</si>
  <si>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</si>
  <si>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</si>
  <si>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</si>
  <si>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</si>
  <si>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</si>
  <si>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</si>
  <si>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</si>
  <si>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</si>
  <si>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</si>
  <si>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</si>
  <si>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</si>
  <si>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</si>
  <si>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</si>
  <si>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</si>
  <si>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</si>
  <si>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</si>
  <si>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</si>
  <si>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</si>
  <si>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</si>
  <si>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</si>
  <si>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</si>
  <si>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</si>
  <si>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</si>
  <si>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</si>
  <si>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</si>
  <si>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</si>
  <si>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</si>
  <si>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</si>
  <si>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</si>
  <si>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</si>
  <si>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</si>
  <si>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</si>
  <si>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</si>
  <si>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</si>
  <si>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</si>
  <si>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</si>
  <si>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</si>
  <si>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</si>
  <si>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</si>
  <si>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</si>
  <si>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</si>
  <si>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</si>
  <si>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</si>
  <si>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</si>
  <si>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</si>
  <si>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</si>
  <si>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</si>
  <si>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</si>
  <si>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</si>
  <si>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</si>
  <si>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</si>
  <si>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</si>
  <si>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</si>
  <si>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</si>
  <si>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</si>
  <si>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</si>
  <si>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</si>
  <si>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</si>
  <si>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</si>
  <si>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</si>
  <si>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</si>
  <si>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</si>
  <si>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</si>
  <si>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</si>
  <si>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</si>
  <si>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</si>
  <si>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</si>
  <si>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</si>
  <si>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</si>
  <si>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</si>
  <si>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</si>
  <si>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</si>
  <si>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</si>
  <si>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</si>
  <si>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</si>
  <si>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</si>
  <si>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</si>
  <si>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</si>
  <si>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</si>
  <si>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</si>
  <si>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</si>
  <si>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</si>
  <si>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</si>
  <si>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</si>
  <si>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</si>
  <si>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</si>
  <si>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</si>
  <si>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</si>
  <si>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</si>
  <si>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</si>
  <si>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</si>
  <si>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</si>
  <si>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</si>
  <si>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</si>
  <si>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</si>
  <si>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</si>
  <si>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</si>
  <si>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</si>
  <si>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</si>
  <si>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</si>
  <si>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</si>
  <si>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</si>
  <si>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</si>
  <si>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</si>
  <si>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</si>
  <si>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</si>
  <si>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</si>
  <si>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</si>
  <si>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</si>
  <si>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</si>
  <si>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</si>
  <si>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</si>
  <si>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</si>
  <si>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</si>
  <si>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</si>
  <si>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</si>
  <si>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</si>
  <si>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</si>
  <si>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</si>
  <si>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</si>
  <si>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</si>
  <si>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</si>
  <si>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</si>
  <si>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</si>
  <si>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</si>
  <si>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</si>
  <si>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</si>
  <si>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</si>
  <si>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</si>
  <si>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</si>
  <si>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</si>
  <si>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</si>
  <si>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</si>
  <si>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</si>
  <si>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</si>
  <si>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</si>
  <si>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</si>
  <si>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</si>
  <si>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</si>
  <si>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</si>
  <si>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</si>
  <si>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</si>
  <si>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</si>
  <si>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</si>
  <si>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</si>
  <si>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</si>
  <si>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</si>
  <si>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</si>
  <si>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</si>
  <si>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</si>
  <si>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</si>
  <si>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</si>
  <si>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</si>
  <si>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</si>
  <si>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</si>
  <si>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</si>
  <si>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</si>
  <si>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</si>
  <si>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</si>
  <si>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</si>
  <si>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</si>
  <si>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</si>
  <si>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</si>
  <si>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</si>
  <si>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</si>
  <si>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</si>
  <si>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</si>
  <si>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</si>
  <si>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</si>
  <si>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</si>
  <si>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</si>
  <si>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</si>
  <si>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</si>
  <si>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</si>
  <si>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</si>
  <si>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</si>
  <si>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</si>
  <si>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</si>
  <si>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</si>
  <si>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</si>
  <si>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</si>
  <si>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</si>
  <si>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</si>
  <si>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</si>
  <si>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</si>
  <si>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</si>
  <si>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</si>
  <si>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</si>
  <si>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</si>
  <si>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</si>
  <si>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</si>
  <si>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</si>
  <si>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</si>
  <si>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</si>
  <si>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</si>
  <si>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</si>
  <si>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</si>
  <si>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</si>
  <si>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</si>
  <si>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</si>
  <si>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</si>
  <si>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</si>
  <si>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</si>
  <si>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</si>
  <si>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</si>
  <si>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</si>
  <si>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</si>
  <si>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</si>
  <si>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</si>
  <si>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</si>
  <si>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</si>
  <si>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</si>
  <si>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</si>
  <si>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</si>
  <si>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</si>
  <si>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</si>
  <si>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</si>
  <si>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</si>
  <si>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</si>
  <si>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</si>
  <si>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</si>
  <si>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</si>
  <si>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</si>
  <si>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</si>
  <si>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</si>
  <si>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</si>
  <si>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</si>
  <si>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</si>
  <si>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</si>
  <si>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</si>
  <si>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</si>
  <si>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</si>
  <si>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</si>
  <si>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</si>
  <si>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</si>
  <si>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</si>
  <si>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</si>
  <si>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</si>
  <si>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</si>
  <si>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</si>
  <si>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</si>
  <si>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</si>
  <si>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</si>
  <si>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</si>
  <si>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</si>
  <si>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</si>
  <si>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</si>
  <si>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</si>
  <si>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</si>
  <si>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</si>
  <si>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</si>
  <si>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</si>
  <si>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</si>
  <si>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</si>
  <si>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</si>
  <si>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</si>
  <si>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</si>
  <si>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</si>
  <si>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</si>
  <si>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</si>
  <si>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</si>
  <si>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</si>
  <si>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</si>
  <si>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</si>
  <si>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</si>
  <si>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</si>
  <si>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</si>
  <si>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</si>
  <si>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</si>
  <si>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</si>
  <si>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</si>
  <si>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</si>
  <si>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</si>
  <si>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</si>
  <si>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</si>
  <si>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</si>
  <si>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</si>
  <si>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</si>
  <si>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</si>
  <si>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</si>
  <si>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</si>
  <si>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</si>
  <si>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</si>
  <si>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</si>
  <si>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</si>
  <si>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</si>
  <si>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</si>
  <si>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</si>
  <si>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</si>
  <si>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</si>
  <si>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</si>
  <si>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</si>
  <si>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</si>
  <si>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</si>
  <si>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</si>
  <si>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</si>
  <si>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</si>
  <si>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</si>
  <si>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</si>
  <si>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</si>
  <si>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</si>
  <si>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</si>
  <si>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</si>
  <si>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</si>
  <si>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</si>
  <si>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</si>
  <si>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</si>
  <si>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</si>
  <si>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</si>
  <si>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</si>
  <si>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</si>
  <si>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</si>
  <si>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</si>
  <si>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</si>
  <si>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</si>
  <si>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</si>
  <si>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</si>
  <si>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</si>
  <si>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</si>
  <si>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</si>
  <si>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</si>
  <si>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</si>
  <si>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</si>
  <si>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</si>
  <si>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</si>
  <si>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</si>
  <si>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</si>
  <si>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</si>
  <si>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</si>
  <si>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</si>
  <si>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</si>
  <si>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</si>
  <si>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</si>
  <si>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</si>
  <si>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</si>
  <si>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</si>
  <si>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</si>
  <si>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</si>
  <si>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</si>
  <si>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</si>
  <si>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</si>
  <si>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</si>
  <si>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</si>
  <si>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</si>
  <si>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</si>
  <si>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</si>
  <si>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</si>
  <si>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</si>
  <si>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</si>
  <si>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</si>
  <si>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</si>
  <si>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</si>
  <si>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</si>
  <si>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</si>
  <si>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</si>
  <si>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</si>
  <si>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</si>
  <si>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</si>
  <si>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</si>
  <si>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</si>
  <si>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</si>
  <si>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</si>
  <si>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</si>
  <si>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</si>
  <si>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</si>
  <si>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</si>
  <si>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</si>
  <si>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</si>
  <si>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</si>
  <si>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</si>
  <si>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</si>
  <si>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</si>
  <si>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</si>
  <si>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</si>
  <si>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</si>
  <si>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</si>
  <si>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</si>
  <si>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</si>
  <si>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</si>
  <si>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</si>
  <si>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</si>
  <si>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</si>
  <si>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</si>
  <si>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</si>
  <si>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</si>
  <si>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</si>
  <si>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</si>
  <si>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</si>
  <si>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</si>
  <si>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</si>
  <si>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</si>
  <si>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</si>
  <si>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</si>
  <si>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</si>
  <si>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</si>
  <si>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</si>
  <si>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</si>
  <si>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</si>
  <si>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</si>
  <si>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</si>
  <si>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</si>
  <si>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</si>
  <si>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</si>
  <si>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</si>
  <si>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</si>
  <si>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</si>
  <si>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</si>
  <si>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</si>
  <si>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</si>
  <si>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</si>
  <si>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</si>
  <si>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</si>
  <si>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</si>
  <si>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</si>
  <si>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</si>
  <si>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</si>
  <si>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</si>
  <si>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</si>
  <si>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</si>
  <si>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</si>
  <si>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</si>
  <si>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</si>
  <si>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</si>
  <si>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</si>
  <si>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</si>
  <si>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</si>
  <si>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</si>
  <si>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</si>
  <si>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</si>
  <si>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</si>
  <si>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</si>
  <si>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</si>
  <si>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</si>
  <si>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</si>
  <si>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</si>
  <si>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</si>
  <si>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</si>
  <si>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</si>
  <si>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</si>
  <si>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</si>
  <si>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</si>
  <si>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</si>
  <si>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</si>
  <si>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</si>
  <si>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</si>
  <si>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</si>
  <si>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</si>
  <si>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</si>
  <si>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</si>
  <si>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</si>
  <si>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</si>
  <si>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</si>
  <si>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</si>
  <si>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</si>
  <si>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</si>
  <si>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</si>
  <si>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</si>
  <si>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</si>
  <si>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</si>
  <si>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</si>
  <si>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</si>
  <si>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</si>
  <si>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</si>
  <si>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</si>
  <si>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</si>
  <si>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</si>
  <si>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</si>
  <si>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</si>
  <si>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</si>
  <si>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</si>
  <si>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</si>
  <si>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</si>
  <si>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</si>
  <si>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</si>
  <si>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</si>
  <si>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</si>
  <si>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</si>
  <si>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</si>
  <si>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</si>
  <si>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</si>
  <si>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</si>
  <si>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</si>
  <si>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</si>
  <si>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</si>
  <si>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</si>
  <si>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</si>
  <si>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</si>
  <si>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</si>
  <si>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</si>
  <si>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</si>
  <si>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</si>
  <si>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</si>
  <si>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</si>
  <si>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</si>
  <si>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</si>
  <si>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</si>
  <si>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</si>
  <si>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</si>
  <si>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</si>
  <si>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</si>
  <si>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</si>
  <si>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</si>
  <si>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</si>
  <si>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</si>
  <si>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</si>
  <si>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</si>
  <si>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</si>
  <si>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</si>
  <si>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</si>
  <si>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</si>
  <si>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</si>
  <si>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</si>
  <si>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</si>
  <si>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</si>
  <si>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</si>
  <si>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</si>
  <si>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</si>
  <si>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</si>
  <si>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</si>
  <si>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</si>
  <si>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</si>
  <si>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</si>
  <si>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</si>
  <si>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</si>
  <si>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</si>
  <si>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</si>
  <si>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</si>
  <si>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</si>
  <si>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</si>
  <si>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</si>
  <si>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</si>
  <si>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</si>
  <si>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</si>
  <si>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</si>
  <si>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</si>
  <si>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</si>
  <si>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</si>
  <si>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</si>
  <si>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</si>
  <si>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</si>
  <si>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</si>
  <si>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</si>
  <si>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</si>
  <si>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</si>
  <si>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</si>
  <si>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</si>
  <si>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</si>
  <si>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</si>
  <si>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</si>
  <si>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</si>
  <si>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</si>
  <si>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</si>
  <si>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</si>
  <si>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</si>
  <si>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</si>
  <si>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</si>
  <si>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</si>
  <si>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</si>
  <si>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</si>
  <si>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</si>
  <si>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</si>
  <si>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</si>
  <si>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</si>
  <si>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</si>
  <si>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</si>
  <si>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</si>
  <si>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</si>
  <si>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</si>
  <si>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</si>
  <si>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</si>
  <si>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</si>
  <si>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</si>
  <si>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</si>
  <si>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</si>
  <si>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</si>
  <si>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</si>
  <si>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</si>
  <si>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</si>
  <si>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</si>
  <si>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</si>
  <si>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</si>
  <si>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</si>
  <si>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</si>
  <si>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</si>
  <si>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</si>
  <si>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</si>
  <si>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</si>
  <si>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</si>
  <si>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</si>
  <si>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</si>
  <si>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</si>
  <si>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</si>
  <si>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</si>
  <si>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</si>
  <si>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</si>
  <si>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</si>
  <si>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</si>
  <si>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</si>
  <si>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</si>
  <si>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</si>
  <si>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</si>
  <si>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</si>
  <si>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</si>
  <si>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</si>
  <si>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</si>
  <si>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</si>
  <si>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</si>
  <si>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</si>
  <si>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</si>
  <si>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</si>
  <si>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</si>
  <si>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</si>
  <si>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</si>
  <si>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</si>
  <si>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</si>
  <si>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</si>
  <si>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</si>
  <si>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</si>
  <si>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</si>
  <si>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</si>
  <si>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</si>
  <si>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</si>
  <si>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</si>
  <si>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</si>
  <si>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</si>
  <si>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</si>
  <si>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</si>
  <si>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</si>
  <si>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</si>
  <si>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</si>
  <si>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</si>
  <si>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</si>
  <si>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</si>
  <si>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</si>
  <si>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</si>
  <si>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</si>
  <si>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</si>
  <si>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</si>
  <si>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</si>
  <si>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</si>
  <si>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</si>
  <si>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</si>
  <si>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</si>
  <si>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</si>
  <si>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</si>
  <si>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</si>
  <si>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</si>
  <si>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</si>
  <si>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</si>
  <si>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</si>
  <si>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</si>
  <si>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</si>
  <si>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</si>
  <si>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</si>
  <si>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</si>
  <si>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</si>
  <si>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</si>
  <si>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</si>
  <si>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</si>
  <si>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</si>
  <si>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</si>
  <si>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</si>
  <si>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</si>
  <si>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</si>
  <si>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</si>
  <si>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</si>
  <si>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</si>
  <si>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</si>
  <si>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</si>
  <si>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</si>
  <si>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</si>
  <si>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</si>
  <si>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</si>
  <si>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</si>
  <si>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</si>
  <si>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</si>
  <si>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</si>
  <si>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</si>
  <si>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</si>
  <si>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</si>
  <si>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</si>
  <si>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</si>
  <si>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</si>
  <si>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</si>
  <si>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</si>
  <si>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</si>
  <si>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</si>
  <si>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</si>
  <si>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</si>
  <si>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</si>
  <si>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</si>
  <si>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</si>
  <si>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</si>
  <si>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</si>
  <si>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</si>
  <si>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</si>
  <si>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</si>
  <si>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</si>
  <si>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</si>
  <si>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</si>
  <si>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</si>
  <si>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</si>
  <si>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</si>
  <si>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</si>
  <si>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</si>
  <si>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</si>
  <si>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</si>
  <si>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</si>
  <si>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</si>
  <si>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</si>
  <si>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</si>
  <si>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</si>
  <si>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</si>
  <si>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</si>
  <si>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</si>
  <si>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</si>
  <si>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</si>
  <si>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</si>
  <si>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</si>
  <si>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</si>
  <si>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</si>
  <si>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</si>
  <si>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</si>
  <si>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</si>
  <si>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</si>
  <si>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</si>
  <si>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</si>
  <si>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</si>
  <si>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</si>
  <si>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</si>
  <si>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</si>
  <si>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</si>
  <si>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</si>
  <si>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</si>
  <si>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</si>
  <si>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</si>
  <si>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</si>
  <si>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</si>
  <si>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</si>
  <si>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</si>
  <si>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</si>
  <si>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</si>
  <si>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</si>
  <si>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</si>
  <si>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</si>
  <si>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</si>
  <si>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</si>
  <si>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</si>
  <si>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</si>
  <si>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</si>
  <si>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</si>
  <si>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</si>
  <si>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</si>
  <si>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</si>
  <si>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</si>
  <si>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</si>
  <si>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</si>
  <si>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</si>
  <si>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</si>
  <si>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</si>
  <si>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</si>
  <si>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</si>
  <si>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</si>
  <si>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</si>
  <si>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</si>
  <si>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</si>
  <si>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</si>
  <si>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</si>
  <si>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</si>
  <si>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</si>
  <si>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</si>
  <si>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</si>
  <si>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</si>
  <si>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</si>
  <si>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</si>
  <si>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</si>
  <si>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</si>
  <si>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</si>
  <si>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</si>
  <si>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</si>
  <si>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</si>
  <si>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</si>
  <si>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</si>
  <si>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</si>
  <si>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</si>
  <si>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</si>
  <si>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</si>
  <si>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</si>
  <si>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</si>
  <si>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</si>
  <si>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</si>
  <si>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</si>
  <si>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</si>
  <si>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</si>
  <si>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</si>
  <si>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</si>
  <si>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</si>
  <si>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</si>
  <si>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</si>
  <si>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</si>
  <si>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</si>
  <si>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</si>
  <si>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</si>
  <si>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</si>
  <si>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</si>
  <si>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</si>
  <si>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</si>
  <si>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</si>
  <si>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</si>
  <si>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</si>
  <si>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</si>
  <si>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</si>
  <si>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</si>
  <si>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</si>
  <si>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</si>
  <si>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</si>
  <si>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</si>
  <si>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</si>
  <si>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</si>
  <si>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</si>
  <si>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</si>
  <si>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</si>
  <si>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</si>
  <si>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</si>
  <si>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</si>
  <si>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</si>
  <si>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</si>
  <si>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</si>
  <si>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</si>
  <si>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</si>
  <si>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</si>
  <si>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</si>
  <si>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</si>
  <si>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</si>
  <si>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</si>
  <si>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</si>
  <si>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</si>
  <si>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</si>
  <si>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</si>
  <si>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</si>
  <si>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</si>
  <si>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</si>
  <si>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</si>
  <si>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</si>
  <si>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</si>
  <si>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</si>
  <si>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</si>
  <si>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</si>
  <si>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</si>
  <si>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</si>
  <si>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</si>
  <si>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</si>
  <si>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</si>
  <si>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</si>
  <si>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</si>
  <si>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</si>
  <si>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</si>
  <si>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</si>
  <si>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</si>
  <si>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</si>
  <si>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</si>
  <si>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</si>
  <si>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</si>
  <si>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</si>
  <si>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</si>
  <si>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</si>
  <si>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</si>
  <si>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</si>
  <si>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</si>
  <si>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</si>
  <si>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</si>
  <si>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</si>
  <si>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</si>
  <si>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</si>
  <si>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</si>
  <si>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</si>
  <si>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</si>
  <si>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</si>
  <si>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</si>
  <si>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</si>
  <si>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</si>
  <si>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</si>
  <si>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</si>
  <si>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</si>
  <si>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</si>
  <si>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</si>
  <si>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</si>
  <si>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</si>
  <si>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</si>
  <si>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</si>
  <si>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</si>
  <si>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</si>
  <si>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</si>
  <si>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</si>
  <si>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</si>
  <si>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</si>
  <si>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</si>
  <si>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</si>
  <si>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</si>
  <si>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</si>
  <si>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</si>
  <si>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</si>
  <si>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</si>
  <si>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</si>
  <si>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</si>
  <si>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</si>
  <si>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</si>
  <si>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</si>
  <si>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</si>
  <si>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</si>
  <si>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</si>
  <si>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</si>
  <si>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</si>
  <si>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</si>
  <si>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</si>
  <si>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</si>
  <si>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</si>
  <si>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</si>
  <si>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</si>
  <si>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</si>
  <si>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</si>
  <si>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</si>
  <si>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</si>
  <si>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</si>
  <si>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</si>
  <si>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</si>
  <si>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</si>
  <si>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</si>
  <si>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</si>
  <si>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</si>
  <si>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</si>
  <si>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</si>
  <si>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</si>
  <si>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</si>
  <si>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</si>
  <si>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</si>
  <si>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</si>
  <si>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</si>
  <si>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</si>
  <si>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</si>
  <si>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</si>
  <si>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</si>
  <si>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</si>
  <si>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</si>
  <si>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</si>
  <si>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</si>
  <si>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</si>
  <si>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</si>
  <si>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</si>
  <si>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</si>
  <si>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</si>
  <si>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</si>
  <si>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</si>
  <si>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</si>
  <si>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</si>
  <si>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</si>
  <si>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</si>
  <si>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</si>
  <si>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</si>
  <si>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</si>
  <si>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</si>
  <si>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</si>
  <si>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</si>
  <si>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</si>
  <si>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</si>
  <si>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</si>
  <si>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</si>
  <si>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</si>
  <si>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</si>
  <si>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</si>
  <si>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</si>
  <si>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</si>
  <si>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</si>
  <si>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</si>
  <si>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</si>
  <si>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</si>
  <si>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</si>
  <si>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</si>
  <si>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</si>
  <si>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</si>
  <si>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</si>
  <si>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</si>
  <si>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</si>
  <si>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</si>
  <si>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</si>
  <si>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</si>
  <si>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</si>
  <si>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</si>
  <si>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</si>
  <si>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</si>
  <si>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</si>
  <si>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</si>
  <si>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</si>
  <si>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</si>
  <si>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</si>
  <si>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</si>
  <si>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</si>
  <si>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</si>
  <si>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</si>
  <si>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</si>
  <si>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</si>
  <si>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</si>
  <si>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</si>
  <si>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</si>
  <si>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</si>
  <si>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</si>
  <si>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</si>
  <si>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</si>
  <si>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</si>
  <si>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</si>
  <si>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</si>
  <si>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</si>
  <si>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</si>
  <si>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</si>
  <si>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</si>
  <si>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</si>
  <si>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</si>
  <si>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</si>
  <si>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</si>
  <si>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</si>
  <si>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</si>
  <si>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</si>
  <si>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</si>
  <si>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</si>
  <si>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</si>
  <si>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</si>
  <si>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</si>
  <si>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</si>
  <si>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</si>
  <si>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</si>
  <si>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</si>
  <si>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</si>
  <si>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</si>
  <si>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</si>
  <si>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</si>
  <si>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</si>
  <si>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</si>
  <si>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</si>
  <si>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</si>
  <si>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</si>
  <si>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</si>
  <si>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</si>
  <si>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</si>
  <si>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</si>
  <si>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</si>
  <si>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</si>
  <si>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</si>
  <si>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</si>
  <si>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</si>
  <si>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</si>
  <si>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</si>
  <si>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</si>
  <si>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</si>
  <si>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</si>
  <si>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</si>
  <si>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</si>
  <si>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</si>
  <si>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</si>
  <si>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</si>
  <si>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</si>
  <si>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</si>
  <si>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</si>
  <si>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</si>
  <si>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</si>
  <si>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</si>
  <si>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</si>
  <si>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</si>
  <si>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</si>
  <si>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</si>
  <si>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</si>
  <si>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</si>
  <si>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</si>
  <si>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</si>
  <si>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</si>
  <si>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</si>
  <si>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</si>
  <si>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</si>
  <si>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</si>
  <si>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</si>
  <si>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</si>
  <si>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</si>
  <si>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</si>
  <si>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</si>
  <si>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</si>
  <si>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</si>
  <si>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</si>
  <si>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</si>
  <si>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</si>
  <si>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</si>
  <si>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</si>
  <si>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</si>
  <si>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</si>
  <si>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</si>
  <si>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</si>
  <si>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</si>
  <si>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</si>
  <si>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</si>
  <si>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</si>
  <si>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</si>
  <si>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</si>
  <si>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</si>
  <si>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</si>
  <si>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</si>
  <si>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</si>
  <si>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</si>
  <si>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</si>
  <si>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</si>
  <si>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</si>
  <si>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</si>
  <si>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</si>
  <si>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</si>
  <si>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</si>
  <si>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</si>
  <si>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</si>
  <si>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</si>
  <si>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</si>
  <si>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</si>
  <si>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</si>
  <si>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</si>
  <si>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</si>
  <si>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</si>
  <si>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</si>
  <si>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</si>
  <si>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</si>
  <si>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</si>
  <si>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</si>
  <si>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</si>
  <si>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</si>
  <si>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</si>
  <si>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</si>
  <si>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</si>
  <si>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</si>
  <si>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</si>
  <si>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</si>
  <si>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</si>
  <si>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</si>
  <si>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</si>
  <si>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</si>
  <si>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</si>
  <si>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</si>
  <si>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</si>
  <si>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</si>
  <si>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</si>
  <si>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</si>
  <si>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</si>
  <si>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</si>
  <si>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</si>
  <si>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</si>
  <si>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</si>
  <si>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</si>
  <si>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</si>
  <si>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</si>
  <si>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</si>
  <si>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</si>
  <si>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</si>
  <si>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</si>
  <si>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</si>
  <si>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</si>
  <si>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</si>
  <si>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</si>
  <si>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</si>
  <si>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</si>
  <si>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</si>
  <si>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</si>
  <si>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</si>
  <si>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</si>
  <si>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</si>
  <si>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</si>
  <si>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</si>
  <si>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</si>
  <si>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</si>
  <si>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</si>
  <si>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</si>
  <si>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</si>
  <si>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</si>
  <si>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</si>
  <si>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</si>
  <si>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</si>
  <si>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</si>
  <si>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</si>
  <si>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</si>
  <si>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</si>
  <si>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</si>
  <si>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</si>
  <si>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</si>
  <si>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</si>
  <si>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</si>
  <si>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</si>
  <si>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</si>
  <si>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</si>
  <si>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</si>
  <si>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</si>
  <si>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</si>
  <si>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</si>
  <si>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</si>
  <si>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</si>
  <si>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</si>
  <si>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</si>
  <si>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</si>
  <si>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</si>
  <si>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</si>
  <si>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</si>
  <si>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</si>
  <si>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</si>
  <si>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</si>
  <si>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</si>
  <si>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</si>
  <si>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</si>
  <si>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</si>
  <si>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</si>
  <si>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</si>
  <si>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</si>
  <si>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</si>
  <si>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</si>
  <si>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</si>
  <si>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</si>
  <si>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</si>
  <si>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</si>
  <si>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</si>
  <si>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</si>
  <si>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</si>
  <si>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</si>
  <si>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</si>
  <si>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</si>
  <si>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</si>
  <si>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</si>
  <si>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</si>
  <si>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</si>
  <si>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</si>
  <si>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</si>
  <si>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</si>
  <si>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</si>
  <si>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</si>
  <si>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</si>
  <si>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</si>
  <si>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</si>
  <si>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</si>
  <si>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</si>
  <si>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</si>
  <si>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</si>
  <si>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</si>
  <si>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</si>
  <si>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</si>
  <si>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</si>
  <si>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</si>
  <si>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</si>
  <si>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</si>
  <si>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</si>
  <si>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</si>
  <si>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</si>
  <si>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</si>
  <si>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</si>
  <si>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</si>
  <si>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</si>
  <si>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</si>
  <si>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</si>
  <si>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</si>
  <si>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</si>
  <si>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</si>
  <si>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</si>
  <si>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</si>
  <si>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</si>
  <si>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</si>
  <si>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</si>
  <si>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</si>
  <si>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</si>
  <si>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</si>
  <si>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</si>
  <si>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</si>
  <si>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</si>
  <si>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</si>
  <si>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</si>
  <si>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</si>
  <si>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</si>
  <si>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</si>
  <si>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</si>
  <si>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</si>
  <si>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</si>
  <si>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</si>
  <si>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</si>
  <si>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</si>
  <si>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</si>
  <si>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</si>
  <si>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</si>
  <si>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</si>
  <si>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</si>
  <si>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</si>
  <si>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</si>
  <si>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</si>
  <si>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</si>
  <si>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</si>
  <si>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</si>
  <si>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</si>
  <si>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</si>
  <si>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</si>
  <si>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</si>
  <si>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</si>
  <si>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</si>
  <si>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</si>
  <si>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</si>
  <si>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</si>
  <si>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</si>
  <si>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</si>
  <si>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</si>
  <si>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</si>
  <si>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</si>
  <si>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</si>
  <si>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</si>
  <si>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</si>
  <si>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</si>
  <si>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</si>
  <si>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</si>
  <si>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</si>
  <si>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</si>
  <si>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</si>
  <si>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</si>
  <si>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</si>
  <si>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</si>
  <si>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</si>
  <si>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</si>
  <si>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</si>
  <si>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</si>
  <si>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</si>
  <si>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</si>
  <si>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</si>
  <si>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</si>
  <si>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</si>
  <si>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</si>
  <si>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</si>
  <si>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</si>
  <si>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</si>
  <si>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</si>
  <si>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</si>
  <si>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</si>
  <si>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</si>
  <si>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</si>
  <si>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</si>
  <si>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</si>
  <si>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</si>
  <si>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</si>
  <si>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</si>
  <si>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</si>
  <si>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</si>
  <si>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</si>
  <si>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</si>
  <si>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</si>
  <si>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</si>
  <si>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</si>
  <si>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</si>
  <si>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</si>
  <si>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</si>
  <si>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</si>
  <si>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</si>
  <si>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</si>
  <si>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</si>
  <si>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</si>
  <si>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</si>
  <si>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</si>
  <si>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</si>
  <si>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</si>
  <si>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</si>
  <si>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</si>
  <si>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</si>
  <si>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</si>
  <si>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</si>
  <si>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</si>
  <si>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</si>
  <si>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</si>
  <si>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</si>
  <si>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</si>
  <si>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</si>
  <si>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</si>
  <si>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</si>
  <si>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</si>
  <si>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</si>
  <si>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</si>
  <si>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</si>
  <si>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</si>
  <si>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</si>
  <si>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</si>
  <si>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</si>
  <si>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</si>
  <si>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</si>
  <si>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</si>
  <si>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</si>
  <si>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</si>
  <si>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</si>
  <si>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</si>
  <si>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</si>
  <si>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</si>
  <si>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</si>
  <si>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</si>
  <si>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</si>
  <si>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</si>
  <si>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</si>
  <si>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</si>
  <si>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</si>
  <si>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</si>
  <si>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</si>
  <si>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</si>
  <si>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</si>
  <si>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</si>
  <si>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</si>
  <si>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</si>
  <si>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</si>
  <si>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</si>
  <si>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</si>
  <si>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</si>
  <si>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</si>
  <si>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</si>
  <si>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</si>
  <si>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</si>
  <si>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</si>
  <si>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</si>
  <si>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</si>
  <si>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</si>
  <si>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</si>
  <si>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</si>
  <si>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</si>
  <si>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</si>
  <si>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</si>
  <si>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</si>
  <si>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</si>
  <si>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</si>
  <si>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</si>
  <si>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</si>
  <si>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</si>
  <si>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</si>
  <si>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</si>
  <si>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</si>
  <si>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</si>
  <si>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</si>
  <si>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</si>
  <si>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</si>
  <si>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</si>
  <si>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</si>
  <si>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</si>
  <si>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</si>
  <si>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</si>
  <si>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</si>
  <si>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</si>
  <si>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</si>
  <si>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</si>
  <si>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</si>
  <si>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</si>
  <si>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</si>
  <si>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</si>
  <si>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</si>
  <si>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</si>
  <si>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</si>
  <si>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</si>
  <si>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</si>
  <si>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</si>
  <si>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</si>
  <si>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</si>
  <si>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</si>
  <si>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</si>
  <si>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</si>
  <si>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</si>
  <si>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</si>
  <si>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</si>
  <si>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</si>
  <si>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</si>
  <si>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</si>
  <si>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</si>
  <si>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</si>
  <si>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</si>
  <si>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</si>
  <si>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</si>
  <si>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</si>
  <si>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</si>
  <si>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</si>
  <si>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</si>
  <si>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</si>
  <si>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</si>
  <si>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</si>
  <si>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</si>
  <si>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</si>
  <si>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</si>
  <si>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</si>
  <si>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</si>
  <si>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</si>
  <si>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</si>
  <si>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</si>
  <si>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</si>
  <si>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</si>
  <si>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</si>
  <si>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</si>
  <si>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</si>
  <si>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</si>
  <si>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</si>
  <si>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</si>
  <si>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</si>
  <si>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</si>
  <si>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</si>
  <si>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</si>
  <si>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</si>
  <si>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</si>
  <si>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</si>
  <si>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</si>
  <si>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</si>
  <si>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</si>
  <si>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</si>
  <si>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</si>
  <si>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</si>
  <si>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</si>
  <si>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</si>
  <si>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</si>
  <si>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</si>
  <si>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</si>
  <si>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</si>
  <si>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</si>
  <si>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</si>
  <si>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</si>
  <si>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</si>
  <si>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</si>
  <si>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</si>
  <si>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</si>
  <si>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</si>
  <si>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</si>
  <si>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</si>
  <si>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</si>
  <si>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</si>
  <si>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</si>
  <si>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</si>
  <si>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</si>
  <si>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</si>
  <si>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</si>
  <si>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</si>
  <si>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</si>
  <si>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</si>
  <si>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</si>
  <si>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</si>
  <si>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</si>
  <si>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</si>
  <si>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</si>
  <si>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</si>
  <si>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</si>
  <si>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</si>
  <si>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</si>
  <si>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</si>
  <si>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</si>
  <si>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</si>
  <si>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</si>
  <si>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</si>
  <si>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</si>
  <si>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</si>
  <si>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</si>
  <si>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</si>
  <si>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</si>
  <si>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</si>
  <si>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</si>
  <si>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</si>
  <si>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</si>
  <si>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</si>
  <si>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</si>
  <si>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</si>
  <si>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</si>
  <si>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</si>
  <si>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</si>
  <si>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</si>
  <si>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</si>
  <si>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</si>
  <si>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</si>
  <si>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</si>
  <si>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</si>
  <si>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</si>
  <si>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</si>
  <si>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</si>
  <si>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</si>
  <si>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</si>
  <si>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</si>
  <si>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</si>
  <si>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</si>
  <si>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</si>
  <si>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</si>
  <si>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</si>
  <si>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</si>
  <si>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</si>
  <si>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</si>
  <si>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</si>
  <si>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</si>
  <si>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</si>
  <si>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</si>
  <si>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</si>
  <si>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</si>
  <si>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</si>
  <si>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</si>
  <si>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</si>
  <si>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</si>
  <si>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</si>
  <si>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</si>
  <si>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</si>
  <si>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</si>
  <si>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</si>
  <si>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</si>
  <si>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</si>
  <si>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</si>
  <si>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</si>
  <si>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</si>
  <si>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</si>
  <si>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</si>
  <si>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</si>
  <si>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</si>
  <si>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</si>
  <si>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</si>
  <si>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</si>
  <si>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</si>
  <si>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</si>
  <si>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</si>
  <si>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</si>
  <si>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</si>
  <si>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</si>
  <si>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</si>
  <si>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</si>
  <si>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</si>
  <si>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</si>
  <si>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</si>
  <si>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</si>
  <si>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</si>
  <si>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</si>
  <si>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</si>
  <si>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</si>
  <si>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</si>
  <si>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</si>
  <si>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</si>
  <si>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</si>
  <si>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</si>
  <si>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</si>
  <si>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</si>
  <si>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</si>
  <si>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</si>
  <si>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</si>
  <si>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</si>
  <si>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</si>
  <si>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</si>
  <si>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</si>
  <si>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</si>
  <si>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</si>
  <si>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</si>
  <si>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</si>
  <si>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</si>
  <si>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</si>
  <si>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</si>
  <si>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</si>
  <si>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</si>
  <si>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</si>
  <si>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</si>
  <si>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</si>
  <si>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</si>
  <si>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</si>
  <si>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</si>
  <si>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</si>
  <si>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</si>
  <si>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</si>
  <si>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</si>
  <si>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</si>
  <si>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</si>
  <si>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</si>
  <si>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</si>
  <si>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</si>
  <si>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</si>
  <si>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</si>
  <si>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</si>
  <si>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</si>
  <si>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</si>
  <si>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</si>
  <si>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</si>
  <si>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</si>
  <si>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</si>
  <si>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</si>
  <si>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</si>
  <si>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</si>
  <si>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</si>
  <si>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</si>
  <si>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</si>
  <si>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</si>
  <si>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</si>
  <si>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</si>
  <si>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</si>
  <si>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</si>
  <si>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</si>
  <si>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</si>
  <si>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</si>
  <si>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</si>
  <si>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</si>
  <si>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</si>
  <si>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</si>
  <si>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</si>
  <si>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</si>
  <si>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</si>
  <si>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</si>
  <si>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</si>
  <si>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</si>
  <si>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</si>
  <si>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</si>
  <si>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</si>
  <si>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</si>
  <si>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</si>
  <si>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</si>
  <si>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</si>
  <si>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</si>
  <si>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</si>
  <si>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</si>
  <si>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</si>
  <si>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</si>
  <si>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</si>
  <si>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</si>
  <si>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</si>
  <si>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</si>
  <si>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</si>
  <si>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</si>
  <si>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</si>
  <si>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</si>
  <si>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</si>
  <si>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</si>
  <si>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</si>
  <si>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</si>
  <si>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</si>
  <si>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</si>
  <si>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</si>
  <si>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</si>
  <si>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</si>
  <si>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</si>
  <si>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</si>
  <si>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</si>
  <si>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</si>
  <si>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</si>
  <si>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</si>
  <si>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</si>
  <si>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</si>
  <si>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</si>
  <si>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</si>
  <si>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</si>
  <si>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</si>
  <si>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</si>
  <si>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</si>
  <si>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</si>
  <si>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</si>
  <si>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</si>
  <si>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</si>
  <si>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</si>
  <si>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</si>
  <si>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</si>
  <si>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</si>
  <si>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</si>
  <si>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</si>
  <si>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</si>
  <si>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</si>
  <si>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</si>
  <si>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</si>
  <si>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</si>
  <si>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</si>
  <si>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</si>
  <si>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</si>
  <si>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</si>
  <si>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</si>
  <si>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</si>
  <si>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</si>
  <si>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</si>
  <si>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</si>
  <si>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</si>
  <si>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</si>
  <si>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</si>
  <si>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</si>
  <si>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</si>
  <si>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</si>
  <si>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</si>
  <si>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</si>
  <si>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</si>
  <si>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</si>
  <si>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</si>
  <si>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</si>
  <si>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</si>
  <si>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</si>
  <si>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</si>
  <si>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</si>
  <si>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</si>
  <si>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</si>
  <si>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</si>
  <si>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</si>
  <si>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</si>
  <si>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</si>
  <si>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</si>
  <si>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</si>
  <si>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</si>
  <si>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</si>
  <si>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</si>
  <si>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</si>
  <si>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</si>
  <si>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</si>
  <si>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</si>
  <si>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</si>
  <si>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</si>
  <si>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</si>
  <si>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</si>
  <si>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</si>
  <si>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</si>
  <si>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</si>
  <si>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</si>
  <si>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</si>
  <si>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</si>
  <si>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</si>
  <si>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</si>
  <si>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</si>
  <si>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</si>
  <si>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</si>
  <si>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</si>
  <si>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</si>
  <si>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</si>
  <si>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</si>
  <si>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</si>
  <si>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</si>
  <si>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</si>
  <si>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</si>
  <si>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</si>
  <si>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</si>
  <si>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</si>
  <si>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</si>
  <si>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</si>
  <si>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</si>
  <si>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</si>
  <si>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</si>
  <si>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</si>
  <si>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</si>
  <si>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</si>
  <si>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</si>
  <si>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</si>
  <si>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</si>
  <si>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</si>
  <si>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</si>
  <si>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</si>
  <si>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</si>
  <si>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</si>
  <si>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</si>
  <si>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</si>
  <si>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</si>
  <si>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</si>
  <si>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</si>
  <si>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</si>
  <si>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</si>
  <si>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</si>
  <si>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</si>
  <si>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</si>
  <si>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</si>
  <si>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</si>
  <si>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</si>
  <si>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</si>
  <si>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</si>
  <si>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</si>
  <si>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</si>
  <si>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</si>
  <si>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</si>
  <si>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</si>
  <si>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</si>
  <si>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</si>
  <si>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</si>
  <si>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</si>
  <si>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</si>
  <si>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</si>
  <si>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</si>
  <si>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</si>
  <si>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</si>
  <si>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</si>
  <si>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</si>
  <si>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</si>
  <si>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</si>
  <si>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</si>
  <si>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</si>
  <si>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</si>
  <si>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</si>
  <si>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</si>
  <si>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</si>
  <si>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</si>
  <si>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</si>
  <si>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</si>
  <si>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</si>
  <si>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</si>
  <si>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</si>
  <si>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</si>
  <si>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</si>
  <si>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</si>
  <si>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</si>
  <si>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</si>
  <si>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</si>
  <si>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</si>
  <si>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</si>
  <si>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</si>
  <si>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</si>
  <si>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</si>
  <si>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</si>
  <si>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</si>
  <si>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</si>
  <si>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</si>
  <si>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</si>
  <si>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</si>
  <si>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</si>
  <si>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</si>
  <si>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</si>
  <si>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</si>
  <si>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</si>
  <si>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</si>
  <si>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</si>
  <si>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</si>
  <si>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</si>
  <si>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</si>
  <si>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</si>
  <si>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</si>
  <si>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</si>
  <si>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</si>
  <si>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</si>
  <si>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</si>
  <si>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</si>
  <si>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</si>
  <si>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</si>
  <si>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</si>
  <si>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</si>
  <si>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</si>
  <si>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</si>
  <si>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</si>
  <si>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</si>
  <si>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</si>
  <si>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</si>
  <si>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</si>
  <si>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</si>
  <si>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</si>
  <si>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</si>
  <si>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</si>
  <si>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</si>
  <si>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</si>
  <si>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</si>
  <si>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</si>
  <si>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</si>
  <si>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</si>
  <si>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</si>
  <si>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</si>
  <si>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</si>
  <si>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</si>
  <si>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</si>
  <si>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</si>
  <si>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</si>
  <si>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</si>
  <si>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</si>
  <si>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</si>
  <si>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</si>
  <si>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</si>
  <si>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</si>
  <si>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</si>
  <si>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</si>
  <si>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</si>
  <si>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</si>
  <si>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</si>
  <si>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</si>
  <si>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</si>
  <si>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</si>
  <si>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</si>
  <si>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</si>
  <si>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</si>
  <si>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</si>
  <si>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</si>
  <si>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</si>
  <si>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</si>
  <si>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</si>
  <si>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</si>
  <si>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</si>
  <si>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</si>
  <si>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</si>
  <si>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</si>
  <si>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</si>
  <si>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</si>
  <si>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</si>
  <si>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</si>
  <si>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</si>
  <si>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</si>
  <si>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</si>
  <si>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</si>
  <si>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</si>
  <si>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</si>
  <si>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</si>
  <si>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</si>
  <si>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</si>
  <si>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</si>
  <si>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</si>
  <si>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</si>
  <si>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</si>
  <si>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</si>
  <si>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</si>
  <si>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</si>
  <si>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</si>
  <si>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</si>
  <si>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</si>
  <si>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</si>
  <si>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</si>
  <si>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</si>
  <si>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</si>
  <si>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</si>
  <si>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</si>
  <si>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</si>
  <si>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</si>
  <si>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</si>
  <si>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</si>
  <si>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</si>
  <si>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</si>
  <si>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</si>
  <si>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</si>
  <si>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</si>
  <si>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</si>
  <si>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</si>
  <si>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</si>
  <si>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</si>
  <si>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</si>
  <si>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</si>
  <si>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</si>
  <si>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</si>
  <si>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</si>
  <si>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</si>
  <si>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</si>
  <si>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</si>
  <si>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</si>
  <si>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</si>
  <si>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</si>
  <si>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</si>
  <si>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</si>
  <si>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</si>
  <si>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</si>
  <si>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</si>
  <si>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</si>
  <si>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</si>
  <si>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</si>
  <si>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</si>
  <si>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</si>
  <si>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</si>
  <si>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</si>
  <si>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</si>
  <si>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</si>
  <si>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</si>
  <si>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</si>
  <si>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</si>
  <si>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</si>
  <si>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</si>
  <si>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</si>
  <si>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</si>
  <si>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</si>
  <si>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</si>
  <si>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</si>
  <si>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</si>
  <si>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</si>
  <si>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</si>
  <si>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</si>
  <si>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</si>
  <si>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</si>
  <si>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</si>
  <si>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</si>
  <si>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</si>
  <si>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</si>
  <si>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</si>
  <si>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</si>
  <si>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</si>
  <si>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</si>
  <si>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</si>
  <si>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</si>
  <si>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</si>
  <si>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</si>
  <si>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</si>
  <si>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</si>
  <si>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</si>
  <si>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</si>
  <si>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</si>
  <si>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</si>
  <si>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</si>
  <si>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</si>
  <si>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</si>
  <si>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</si>
  <si>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</si>
  <si>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</si>
  <si>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</si>
  <si>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</si>
  <si>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</si>
  <si>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</si>
  <si>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</si>
  <si>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</si>
  <si>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</si>
  <si>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</si>
  <si>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</si>
  <si>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</si>
  <si>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</si>
  <si>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</si>
  <si>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</si>
  <si>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</si>
  <si>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</si>
  <si>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</si>
  <si>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</si>
  <si>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</si>
  <si>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</si>
  <si>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</si>
  <si>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</si>
  <si>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</si>
  <si>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</si>
  <si>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</si>
  <si>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</si>
  <si>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</si>
  <si>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</si>
  <si>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</si>
  <si>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</si>
  <si>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</si>
  <si>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</si>
  <si>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</si>
  <si>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</si>
  <si>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</si>
  <si>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</si>
  <si>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</si>
  <si>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</si>
  <si>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</si>
  <si>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</si>
  <si>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</si>
  <si>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</si>
  <si>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</si>
  <si>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</si>
  <si>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</si>
  <si>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</si>
  <si>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</si>
  <si>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</si>
  <si>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</si>
  <si>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</si>
  <si>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</si>
  <si>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</si>
  <si>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</si>
  <si>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</si>
  <si>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</si>
  <si>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</si>
  <si>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</si>
  <si>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</si>
  <si>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</si>
  <si>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</si>
  <si>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</si>
  <si>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</si>
  <si>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</si>
  <si>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</si>
  <si>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</si>
  <si>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</si>
  <si>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</si>
  <si>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</si>
  <si>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</si>
  <si>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</si>
  <si>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</si>
  <si>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</si>
  <si>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</si>
  <si>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</si>
  <si>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</si>
  <si>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</si>
  <si>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</si>
  <si>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</si>
  <si>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</si>
  <si>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</si>
  <si>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</si>
  <si>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</si>
  <si>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</si>
  <si>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</si>
  <si>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</si>
  <si>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</si>
  <si>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</si>
  <si>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</si>
  <si>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</si>
  <si>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</si>
  <si>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</si>
  <si>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</si>
  <si>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</si>
  <si>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</si>
  <si>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</si>
  <si>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</si>
  <si>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</si>
  <si>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</si>
  <si>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</si>
  <si>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</si>
  <si>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</si>
  <si>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</si>
  <si>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</si>
  <si>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</si>
  <si>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</si>
  <si>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</si>
  <si>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</si>
  <si>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</si>
  <si>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</si>
  <si>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</si>
  <si>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</si>
  <si>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</si>
  <si>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</si>
  <si>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</si>
  <si>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</si>
  <si>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</si>
  <si>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</si>
  <si>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</si>
  <si>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</si>
  <si>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</si>
  <si>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</si>
  <si>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</si>
  <si>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</si>
  <si>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</si>
  <si>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</si>
  <si>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</si>
  <si>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</si>
  <si>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</si>
  <si>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</si>
  <si>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</si>
  <si>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</si>
  <si>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</si>
  <si>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</si>
  <si>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</si>
  <si>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</si>
  <si>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</si>
  <si>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</si>
  <si>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</si>
  <si>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</si>
  <si>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</si>
  <si>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</si>
  <si>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</si>
  <si>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</si>
  <si>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</si>
  <si>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</si>
  <si>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</si>
  <si>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</si>
  <si>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</si>
  <si>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</si>
  <si>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</si>
  <si>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</si>
  <si>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</si>
  <si>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</si>
  <si>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</si>
  <si>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</si>
  <si>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</si>
  <si>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</si>
  <si>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</si>
  <si>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</si>
  <si>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</si>
  <si>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</si>
  <si>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</si>
  <si>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</si>
  <si>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</si>
  <si>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</si>
  <si>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</si>
  <si>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</si>
  <si>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</si>
  <si>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</si>
  <si>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</si>
  <si>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</si>
  <si>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</si>
  <si>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</si>
  <si>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</si>
  <si>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</si>
  <si>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</si>
  <si>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</si>
  <si>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</si>
  <si>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</si>
  <si>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</si>
  <si>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</si>
  <si>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</si>
  <si>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</si>
  <si>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</si>
  <si>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</si>
  <si>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</si>
  <si>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</si>
  <si>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</si>
  <si>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</si>
  <si>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</si>
  <si>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</si>
  <si>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</si>
  <si>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</si>
  <si>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</si>
  <si>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</si>
  <si>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</si>
  <si>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</si>
  <si>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</si>
  <si>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</si>
  <si>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</si>
  <si>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</si>
  <si>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</si>
  <si>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</si>
  <si>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</si>
  <si>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</si>
  <si>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</si>
  <si>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</si>
  <si>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</si>
  <si>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</si>
  <si>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</si>
  <si>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</si>
  <si>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</si>
  <si>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</si>
  <si>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</si>
  <si>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</si>
  <si>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</si>
  <si>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</si>
  <si>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</si>
  <si>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</si>
  <si>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</si>
  <si>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</si>
  <si>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</si>
  <si>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</si>
  <si>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</si>
  <si>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</si>
  <si>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</si>
  <si>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</si>
  <si>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</si>
  <si>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</si>
  <si>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</si>
  <si>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</si>
  <si>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</si>
  <si>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</si>
  <si>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</si>
  <si>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</si>
  <si>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</si>
  <si>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</si>
  <si>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</si>
  <si>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</si>
  <si>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</si>
  <si>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</si>
  <si>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</si>
  <si>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</si>
  <si>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</si>
  <si>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</si>
  <si>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</si>
  <si>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</si>
  <si>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</si>
  <si>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</si>
  <si>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</si>
  <si>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</si>
  <si>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</si>
  <si>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</si>
  <si>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</si>
  <si>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</si>
  <si>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</si>
  <si>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</si>
  <si>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</si>
  <si>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</si>
  <si>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</si>
  <si>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</si>
  <si>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</si>
  <si>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</si>
  <si>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</si>
  <si>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</si>
  <si>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</si>
  <si>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</si>
  <si>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</si>
  <si>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</si>
  <si>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</si>
  <si>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</si>
  <si>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</si>
  <si>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</si>
  <si>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</si>
  <si>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</si>
  <si>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</si>
  <si>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</si>
  <si>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</si>
  <si>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</si>
  <si>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</si>
  <si>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</si>
  <si>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</si>
  <si>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</si>
  <si>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</si>
  <si>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</si>
  <si>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</si>
  <si>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</si>
  <si>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</si>
  <si>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</si>
  <si>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</si>
  <si>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</si>
  <si>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</si>
  <si>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</si>
  <si>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</si>
  <si>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</si>
  <si>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</si>
  <si>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</si>
  <si>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</si>
  <si>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</si>
  <si>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</si>
  <si>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</si>
  <si>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</si>
  <si>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</si>
  <si>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</si>
  <si>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</si>
  <si>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</si>
  <si>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</si>
  <si>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</si>
  <si>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</si>
  <si>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</si>
  <si>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</si>
  <si>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</si>
  <si>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</si>
  <si>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</si>
  <si>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</si>
  <si>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</si>
  <si>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</si>
  <si>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</si>
  <si>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</si>
  <si>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</si>
  <si>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</si>
  <si>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</si>
  <si>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</si>
  <si>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</si>
  <si>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</si>
  <si>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</si>
  <si>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</si>
  <si>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</si>
  <si>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</si>
  <si>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</si>
  <si>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</si>
  <si>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</si>
  <si>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</si>
  <si>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</si>
  <si>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</si>
  <si>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</si>
  <si>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</si>
  <si>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</si>
  <si>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</si>
  <si>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</si>
  <si>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</si>
  <si>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</si>
  <si>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</si>
  <si>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</si>
  <si>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</si>
  <si>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</si>
  <si>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</si>
  <si>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</si>
  <si>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</si>
  <si>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</si>
  <si>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</si>
  <si>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</si>
  <si>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</si>
  <si>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</si>
  <si>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</si>
  <si>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</si>
  <si>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</si>
  <si>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</si>
  <si>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</si>
  <si>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</si>
  <si>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</si>
  <si>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</si>
  <si>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</si>
  <si>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</si>
  <si>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</si>
  <si>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</si>
  <si>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</si>
  <si>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</si>
  <si>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</si>
  <si>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</si>
  <si>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</si>
  <si>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</si>
  <si>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</si>
  <si>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</si>
  <si>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</si>
  <si>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</si>
  <si>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</si>
  <si>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</si>
  <si>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</si>
  <si>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</si>
  <si>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</si>
  <si>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</si>
  <si>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</si>
  <si>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</si>
  <si>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</si>
  <si>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</si>
  <si>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</si>
  <si>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</si>
  <si>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</si>
  <si>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</si>
  <si>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</si>
  <si>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</si>
  <si>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</si>
  <si>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</si>
  <si>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</si>
  <si>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</si>
  <si>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</si>
  <si>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</si>
  <si>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</si>
  <si>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</si>
  <si>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</si>
  <si>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</si>
  <si>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</si>
  <si>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</si>
  <si>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</si>
  <si>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</si>
  <si>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</si>
  <si>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</si>
  <si>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</si>
  <si>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</si>
  <si>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</si>
  <si>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</si>
  <si>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</si>
  <si>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</si>
  <si>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</si>
  <si>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</si>
  <si>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</si>
  <si>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</si>
  <si>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</si>
  <si>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</si>
  <si>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</si>
  <si>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</si>
  <si>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</si>
  <si>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</si>
  <si>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</si>
  <si>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</si>
  <si>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</si>
  <si>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</si>
  <si>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</si>
  <si>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</si>
  <si>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</si>
  <si>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</si>
  <si>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</si>
  <si>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</si>
  <si>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</si>
  <si>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</si>
  <si>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</si>
  <si>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</si>
  <si>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</si>
  <si>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</si>
  <si>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</si>
  <si>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</si>
  <si>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</si>
  <si>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</si>
  <si>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</si>
  <si>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</si>
  <si>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</si>
  <si>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</si>
  <si>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</si>
  <si>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</si>
  <si>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</si>
  <si>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</si>
  <si>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</si>
  <si>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</si>
  <si>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</si>
  <si>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</si>
  <si>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</si>
  <si>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</si>
  <si>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</si>
  <si>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</si>
  <si>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</si>
  <si>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</si>
  <si>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</si>
  <si>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</si>
  <si>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</si>
  <si>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</si>
  <si>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</si>
  <si>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</si>
  <si>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</si>
  <si>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</si>
  <si>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</si>
  <si>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</si>
  <si>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</si>
  <si>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</si>
  <si>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</si>
  <si>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</si>
  <si>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</si>
  <si>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</si>
  <si>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</si>
  <si>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</si>
  <si>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</si>
  <si>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</si>
  <si>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</si>
  <si>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</si>
  <si>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</si>
  <si>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</si>
  <si>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</si>
  <si>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</si>
  <si>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</si>
  <si>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</si>
  <si>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</si>
  <si>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</si>
  <si>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</si>
  <si>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</si>
  <si>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</si>
  <si>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</si>
  <si>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</si>
  <si>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</si>
  <si>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</si>
  <si>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</si>
  <si>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</si>
  <si>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</si>
  <si>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</si>
  <si>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</si>
  <si>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</si>
  <si>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</si>
  <si>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</si>
  <si>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</si>
  <si>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</si>
  <si>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</si>
  <si>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</si>
  <si>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</si>
  <si>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</si>
  <si>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</si>
  <si>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</si>
  <si>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</si>
  <si>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</si>
  <si>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</si>
  <si>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</si>
  <si>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</si>
  <si>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</si>
  <si>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</si>
  <si>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</si>
  <si>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</si>
  <si>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</si>
  <si>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</si>
  <si>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</si>
  <si>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</si>
  <si>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</si>
  <si>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</si>
  <si>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</si>
  <si>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</si>
  <si>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</si>
  <si>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</si>
  <si>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</si>
  <si>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</si>
  <si>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</si>
  <si>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</si>
  <si>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</si>
  <si>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</si>
  <si>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</si>
  <si>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</si>
  <si>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</si>
  <si>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</si>
  <si>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</si>
  <si>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</si>
  <si>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</si>
  <si>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</si>
  <si>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</si>
  <si>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</si>
  <si>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</si>
  <si>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</si>
  <si>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</si>
  <si>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</si>
  <si>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</si>
  <si>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</si>
  <si>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</si>
  <si>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</si>
  <si>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</si>
  <si>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</si>
  <si>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</si>
  <si>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</si>
  <si>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</si>
  <si>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</si>
  <si>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</si>
  <si>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</si>
  <si>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</si>
  <si>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</si>
  <si>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</si>
  <si>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</si>
  <si>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</si>
  <si>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</si>
  <si>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</si>
  <si>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</si>
  <si>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</si>
  <si>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</si>
  <si>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</si>
  <si>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</si>
  <si>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</si>
  <si>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</si>
  <si>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</si>
  <si>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</si>
  <si>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</si>
  <si>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</si>
  <si>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</si>
  <si>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</si>
  <si>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</si>
  <si>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</si>
  <si>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</si>
  <si>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</si>
  <si>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</si>
  <si>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</si>
  <si>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</si>
  <si>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</si>
  <si>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</si>
  <si>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</si>
  <si>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</si>
  <si>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</si>
  <si>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</si>
  <si>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</si>
  <si>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</si>
  <si>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</si>
  <si>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</si>
  <si>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</si>
  <si>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</si>
  <si>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</si>
  <si>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</si>
  <si>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</si>
  <si>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</si>
  <si>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</si>
  <si>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</si>
  <si>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</si>
  <si>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</si>
  <si>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</si>
  <si>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</si>
  <si>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</si>
  <si>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</si>
  <si>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</si>
  <si>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</si>
  <si>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</si>
  <si>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</si>
  <si>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</si>
  <si>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</si>
  <si>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</si>
  <si>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</si>
  <si>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</si>
  <si>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</si>
  <si>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</si>
  <si>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</si>
  <si>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</si>
  <si>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</si>
  <si>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</si>
  <si>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</si>
  <si>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</si>
  <si>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</si>
  <si>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</si>
  <si>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</si>
  <si>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</si>
  <si>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</si>
  <si>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</si>
  <si>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</si>
  <si>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</si>
  <si>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</si>
  <si>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</si>
  <si>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</si>
  <si>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</si>
  <si>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</si>
  <si>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</si>
  <si>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</si>
  <si>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</si>
  <si>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</si>
  <si>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</si>
  <si>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</si>
  <si>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</si>
  <si>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</si>
  <si>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</si>
  <si>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</si>
  <si>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</si>
  <si>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</si>
  <si>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</si>
  <si>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</si>
  <si>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</si>
  <si>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</si>
  <si>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</si>
  <si>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</si>
  <si>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</si>
  <si>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</si>
  <si>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</si>
  <si>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</si>
  <si>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</si>
  <si>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</si>
  <si>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</si>
  <si>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</si>
  <si>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</si>
  <si>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</si>
  <si>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</si>
  <si>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</si>
  <si>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</si>
  <si>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</si>
  <si>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</si>
  <si>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</si>
  <si>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</si>
  <si>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</si>
  <si>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</si>
  <si>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</si>
  <si>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</si>
  <si>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</si>
  <si>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</si>
  <si>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</si>
  <si>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</si>
  <si>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</si>
  <si>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</si>
  <si>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</si>
  <si>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</si>
  <si>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</si>
  <si>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</si>
  <si>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</si>
  <si>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</si>
  <si>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</si>
  <si>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</si>
  <si>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</si>
  <si>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</si>
  <si>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</si>
  <si>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</si>
  <si>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</si>
  <si>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</si>
  <si>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</si>
  <si>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</si>
  <si>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</si>
  <si>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</si>
  <si>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</si>
  <si>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</si>
  <si>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</si>
  <si>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</si>
  <si>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</si>
  <si>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</si>
  <si>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</si>
  <si>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</si>
  <si>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</si>
  <si>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</si>
  <si>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</si>
  <si>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</si>
  <si>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</si>
  <si>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</si>
  <si>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</si>
  <si>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</si>
  <si>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</si>
  <si>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</si>
  <si>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</si>
  <si>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</si>
  <si>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</si>
  <si>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</si>
  <si>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</si>
  <si>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</si>
  <si>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</si>
  <si>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</si>
  <si>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</si>
  <si>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</si>
  <si>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</si>
  <si>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</si>
  <si>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</si>
  <si>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</si>
  <si>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</si>
  <si>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</si>
  <si>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</si>
  <si>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</si>
  <si>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</si>
  <si>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</si>
  <si>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</si>
  <si>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</si>
  <si>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</si>
  <si>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</si>
  <si>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</si>
  <si>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</si>
  <si>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</si>
  <si>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</si>
  <si>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</si>
  <si>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</si>
  <si>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</si>
  <si>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</si>
  <si>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</si>
  <si>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</si>
  <si>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</si>
  <si>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</si>
  <si>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</si>
  <si>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</si>
  <si>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</si>
  <si>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</si>
  <si>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</si>
  <si>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</si>
  <si>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</si>
  <si>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</si>
  <si>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</si>
  <si>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</si>
  <si>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</si>
  <si>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</si>
  <si>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</si>
  <si>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</si>
  <si>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</si>
  <si>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</si>
  <si>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</si>
  <si>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</si>
  <si>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</si>
  <si>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</si>
  <si>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</si>
  <si>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</si>
  <si>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</si>
  <si>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</si>
  <si>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</si>
  <si>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</si>
  <si>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</si>
  <si>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</si>
  <si>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</si>
  <si>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</si>
  <si>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</si>
  <si>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</si>
  <si>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</si>
  <si>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</si>
  <si>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</si>
  <si>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</si>
  <si>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</si>
  <si>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</si>
  <si>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</si>
  <si>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</si>
  <si>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</si>
  <si>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</si>
  <si>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</si>
  <si>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</si>
  <si>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</si>
  <si>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</si>
  <si>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</si>
  <si>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</si>
  <si>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</si>
  <si>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</si>
  <si>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</si>
  <si>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</si>
  <si>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</si>
  <si>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</si>
  <si>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</si>
  <si>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</si>
  <si>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</si>
  <si>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</si>
  <si>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</si>
  <si>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</si>
  <si>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</si>
  <si>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</si>
  <si>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</si>
  <si>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</si>
  <si>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</si>
  <si>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</si>
  <si>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</si>
  <si>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</si>
  <si>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</si>
  <si>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</si>
  <si>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</si>
  <si>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</si>
  <si>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</si>
  <si>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</si>
  <si>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</si>
  <si>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</si>
  <si>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</si>
  <si>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</si>
  <si>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</si>
  <si>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</si>
  <si>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</si>
  <si>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</si>
  <si>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</si>
  <si>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</si>
  <si>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</si>
  <si>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</si>
  <si>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</si>
  <si>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</si>
  <si>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</si>
  <si>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</si>
  <si>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</si>
  <si>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</si>
  <si>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</si>
  <si>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</si>
  <si>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</si>
  <si>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</si>
  <si>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</si>
  <si>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</si>
  <si>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</si>
  <si>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</si>
  <si>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</si>
  <si>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</si>
  <si>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</si>
  <si>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</si>
  <si>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</si>
  <si>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</si>
  <si>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</si>
  <si>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</si>
  <si>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</si>
  <si>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</si>
  <si>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</si>
  <si>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</si>
  <si>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</si>
  <si>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</si>
  <si>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</si>
  <si>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</si>
  <si>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</si>
  <si>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</si>
  <si>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</si>
  <si>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</si>
  <si>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</si>
  <si>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</si>
  <si>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</si>
  <si>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</si>
  <si>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</si>
  <si>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</si>
  <si>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</si>
  <si>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</si>
  <si>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</si>
  <si>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</si>
  <si>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</si>
  <si>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</si>
  <si>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</si>
  <si>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</si>
  <si>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</si>
  <si>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</si>
  <si>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</si>
  <si>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</si>
  <si>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</si>
  <si>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</si>
  <si>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</si>
  <si>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</si>
  <si>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</si>
  <si>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</si>
  <si>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</si>
  <si>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</si>
  <si>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</si>
  <si>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</si>
  <si>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</si>
  <si>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</si>
  <si>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</si>
  <si>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</si>
  <si>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</si>
  <si>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</si>
  <si>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</si>
  <si>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</si>
  <si>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</si>
  <si>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</si>
  <si>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</si>
  <si>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</si>
  <si>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</si>
  <si>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</si>
  <si>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</si>
  <si>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</si>
  <si>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</si>
  <si>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</si>
  <si>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</si>
  <si>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</si>
  <si>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</si>
  <si>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</si>
  <si>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</si>
  <si>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</si>
  <si>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</si>
  <si>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</si>
  <si>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</si>
  <si>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</si>
  <si>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</si>
  <si>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</si>
  <si>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</si>
  <si>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</si>
  <si>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</si>
  <si>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</si>
  <si>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</si>
  <si>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</si>
  <si>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</si>
  <si>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</si>
  <si>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</si>
  <si>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</si>
  <si>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</si>
  <si>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</si>
  <si>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</si>
  <si>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</si>
  <si>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</si>
  <si>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</si>
  <si>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</si>
  <si>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</si>
  <si>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</si>
  <si>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</si>
  <si>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</si>
  <si>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</si>
  <si>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</si>
  <si>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</si>
  <si>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</si>
  <si>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</si>
  <si>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</si>
  <si>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</si>
  <si>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</si>
  <si>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</si>
  <si>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</si>
  <si>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</si>
  <si>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</si>
  <si>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</si>
  <si>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</si>
  <si>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</si>
  <si>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</si>
  <si>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</si>
  <si>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</si>
  <si>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</si>
  <si>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</si>
  <si>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</si>
  <si>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</si>
  <si>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</si>
  <si>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</si>
  <si>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</si>
  <si>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</si>
  <si>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</si>
  <si>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</si>
  <si>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</si>
  <si>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</si>
  <si>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</si>
  <si>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</si>
  <si>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</si>
  <si>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</si>
  <si>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</si>
  <si>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</si>
  <si>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</si>
  <si>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</si>
  <si>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</si>
  <si>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</si>
  <si>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</si>
  <si>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</si>
  <si>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</si>
  <si>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</si>
  <si>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</si>
  <si>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</si>
  <si>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</si>
  <si>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</si>
  <si>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</si>
  <si>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</si>
  <si>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</si>
  <si>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</si>
  <si>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</si>
  <si>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</si>
  <si>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</si>
  <si>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</si>
  <si>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</si>
  <si>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</si>
  <si>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</si>
  <si>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</si>
  <si>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</si>
  <si>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</si>
  <si>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</si>
  <si>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</si>
  <si>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</si>
  <si>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</si>
  <si>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</si>
  <si>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</si>
  <si>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</si>
  <si>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</si>
  <si>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</si>
  <si>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</si>
  <si>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</si>
  <si>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</si>
  <si>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</si>
  <si>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</si>
  <si>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</si>
  <si>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</si>
  <si>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</si>
  <si>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</si>
  <si>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</si>
  <si>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</si>
  <si>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</si>
  <si>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</si>
  <si>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</si>
  <si>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</si>
  <si>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</si>
  <si>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</si>
  <si>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</si>
  <si>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</si>
  <si>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</si>
  <si>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</si>
  <si>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</si>
  <si>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</si>
  <si>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</si>
  <si>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</si>
  <si>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</si>
  <si>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</si>
  <si>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</si>
  <si>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</si>
  <si>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</si>
  <si>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</si>
  <si>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</si>
  <si>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</si>
  <si>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</si>
  <si>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</si>
  <si>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</si>
  <si>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</si>
  <si>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</si>
  <si>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</si>
  <si>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</si>
  <si>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</si>
  <si>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</si>
  <si>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</si>
  <si>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</si>
  <si>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</si>
  <si>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</si>
  <si>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</si>
  <si>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</si>
  <si>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</si>
  <si>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</si>
  <si>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</si>
  <si>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</si>
  <si>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</si>
  <si>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</si>
  <si>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</si>
  <si>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</si>
  <si>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</si>
  <si>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</si>
  <si>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</si>
  <si>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</si>
  <si>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</si>
  <si>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</si>
  <si>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</si>
  <si>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</si>
  <si>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</si>
  <si>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</si>
  <si>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</si>
  <si>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</si>
  <si>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</si>
  <si>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</si>
  <si>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</si>
  <si>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</si>
  <si>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</si>
  <si>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</si>
  <si>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</si>
  <si>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</si>
  <si>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</si>
  <si>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</si>
  <si>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</si>
  <si>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</si>
  <si>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</si>
  <si>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</si>
  <si>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</si>
  <si>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</si>
  <si>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</si>
  <si>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</si>
  <si>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</si>
  <si>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</si>
  <si>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</si>
  <si>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</si>
  <si>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</si>
  <si>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</si>
  <si>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</si>
  <si>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</si>
  <si>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</si>
  <si>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</si>
  <si>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</si>
  <si>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</si>
  <si>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</si>
  <si>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</si>
  <si>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</si>
  <si>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</si>
  <si>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</si>
  <si>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</si>
  <si>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</si>
  <si>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</si>
  <si>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</si>
  <si>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</si>
  <si>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</si>
  <si>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</si>
  <si>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</si>
  <si>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</si>
  <si>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</si>
  <si>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</si>
  <si>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</si>
  <si>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</si>
  <si>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</si>
  <si>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</si>
  <si>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</si>
  <si>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</si>
  <si>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</si>
  <si>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</si>
  <si>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</si>
  <si>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</si>
  <si>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</si>
  <si>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</si>
  <si>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</si>
  <si>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</si>
  <si>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</si>
  <si>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</si>
  <si>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</si>
  <si>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</si>
  <si>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</si>
  <si>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</si>
  <si>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</si>
  <si>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</si>
  <si>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</si>
  <si>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</si>
  <si>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</si>
  <si>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</si>
  <si>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</si>
  <si>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</si>
  <si>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</si>
  <si>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</si>
  <si>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</si>
  <si>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</si>
  <si>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</si>
  <si>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</si>
  <si>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</si>
  <si>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</si>
  <si>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</si>
  <si>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</si>
  <si>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</si>
  <si>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</si>
  <si>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</si>
  <si>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</si>
  <si>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</si>
  <si>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</si>
  <si>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</si>
  <si>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</si>
  <si>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</si>
  <si>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</si>
  <si>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</si>
  <si>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</si>
  <si>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</si>
  <si>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</si>
  <si>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</si>
  <si>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</si>
  <si>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</si>
  <si>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</si>
  <si>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</si>
  <si>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</si>
  <si>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</si>
  <si>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</si>
  <si>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</si>
  <si>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</si>
  <si>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</si>
  <si>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</si>
  <si>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</si>
  <si>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</si>
  <si>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</si>
  <si>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</si>
  <si>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</si>
  <si>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</si>
  <si>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</si>
  <si>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</si>
  <si>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</si>
  <si>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</si>
  <si>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</si>
  <si>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</si>
  <si>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</si>
  <si>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</si>
  <si>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</si>
  <si>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</si>
  <si>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</si>
  <si>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</si>
  <si>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</si>
  <si>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</si>
  <si>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</si>
  <si>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</si>
  <si>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</si>
  <si>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</si>
  <si>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</si>
  <si>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</si>
  <si>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</si>
  <si>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</si>
  <si>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</si>
  <si>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</si>
  <si>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</si>
  <si>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</si>
  <si>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</si>
  <si>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</si>
  <si>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</si>
  <si>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</si>
  <si>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</si>
  <si>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</si>
  <si>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</si>
  <si>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</si>
  <si>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</si>
  <si>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</si>
  <si>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</si>
  <si>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</si>
  <si>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</si>
  <si>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</si>
  <si>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</si>
  <si>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</si>
  <si>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</si>
  <si>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</si>
  <si>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</si>
  <si>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</si>
  <si>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</si>
  <si>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</si>
  <si>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</si>
  <si>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</si>
  <si>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</si>
  <si>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</si>
  <si>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</si>
  <si>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</si>
  <si>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</si>
  <si>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</si>
  <si>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</si>
  <si>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</si>
  <si>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</si>
  <si>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</si>
  <si>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</si>
  <si>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</si>
  <si>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</si>
  <si>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</si>
  <si>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</si>
  <si>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</si>
  <si>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</si>
  <si>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</si>
  <si>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</si>
  <si>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</si>
  <si>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</si>
  <si>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</si>
  <si>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</si>
  <si>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</si>
  <si>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</si>
  <si>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</si>
  <si>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</si>
  <si>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</si>
  <si>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</si>
  <si>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</si>
  <si>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</si>
  <si>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</si>
  <si>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</si>
  <si>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</si>
  <si>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</si>
  <si>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</si>
  <si>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</si>
  <si>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</si>
  <si>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</si>
  <si>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</si>
  <si>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</si>
  <si>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</si>
  <si>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</si>
  <si>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</si>
  <si>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</si>
  <si>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</si>
  <si>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</si>
  <si>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</si>
  <si>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</si>
  <si>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</si>
  <si>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</si>
  <si>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</si>
  <si>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</si>
  <si>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</si>
  <si>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</si>
  <si>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</si>
  <si>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</si>
  <si>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</si>
  <si>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</si>
  <si>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</si>
  <si>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</si>
  <si>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</si>
  <si>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</si>
  <si>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</si>
  <si>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</si>
  <si>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</si>
  <si>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</si>
  <si>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</si>
  <si>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</si>
  <si>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</si>
  <si>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</si>
  <si>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</si>
  <si>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</si>
  <si>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</si>
  <si>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</si>
  <si>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</si>
  <si>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</si>
  <si>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</si>
  <si>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</si>
  <si>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</si>
  <si>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</si>
  <si>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</si>
  <si>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</si>
  <si>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</si>
  <si>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</si>
  <si>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</si>
  <si>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</si>
  <si>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</si>
  <si>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</si>
  <si>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</si>
  <si>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</si>
  <si>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</si>
  <si>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</si>
  <si>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</si>
  <si>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</si>
  <si>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</si>
  <si>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</si>
  <si>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</si>
  <si>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</si>
  <si>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</si>
  <si>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</si>
  <si>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</si>
  <si>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</si>
  <si>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</si>
  <si>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</si>
  <si>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</si>
  <si>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</si>
  <si>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</si>
  <si>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</si>
  <si>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</si>
  <si>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</si>
  <si>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</si>
  <si>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</si>
  <si>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</si>
  <si>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</si>
  <si>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</si>
  <si>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</si>
  <si>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</si>
  <si>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</si>
  <si>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</si>
  <si>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</si>
  <si>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</si>
  <si>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</si>
  <si>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</si>
  <si>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</si>
  <si>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</si>
  <si>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</si>
  <si>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</si>
  <si>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</si>
  <si>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</si>
  <si>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</si>
  <si>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</si>
  <si>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</si>
  <si>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</si>
  <si>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</si>
  <si>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</si>
  <si>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</si>
  <si>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</si>
  <si>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</si>
  <si>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</si>
  <si>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</si>
  <si>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</si>
  <si>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</si>
  <si>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</si>
  <si>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</si>
  <si>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</si>
  <si>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</si>
  <si>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</si>
  <si>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</si>
  <si>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</si>
  <si>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</si>
  <si>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</si>
  <si>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</si>
  <si>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</si>
  <si>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</si>
  <si>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</si>
  <si>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</si>
  <si>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</si>
  <si>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</si>
  <si>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</si>
  <si>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</si>
  <si>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</si>
  <si>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</si>
  <si>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</si>
  <si>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</si>
  <si>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</si>
  <si>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</si>
  <si>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</si>
  <si>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</si>
  <si>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</si>
  <si>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</si>
  <si>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</si>
  <si>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</si>
  <si>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</si>
  <si>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</si>
  <si>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</si>
  <si>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</si>
  <si>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</si>
  <si>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</si>
  <si>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</si>
  <si>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</si>
  <si>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</si>
  <si>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</si>
  <si>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</si>
  <si>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</si>
  <si>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</si>
  <si>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</si>
  <si>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</si>
  <si>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</si>
  <si>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</si>
  <si>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</si>
  <si>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</si>
  <si>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</si>
  <si>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</si>
  <si>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</si>
  <si>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</si>
  <si>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</si>
  <si>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</si>
  <si>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</si>
  <si>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</si>
  <si>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</si>
  <si>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</si>
  <si>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</si>
  <si>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</si>
  <si>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</si>
  <si>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</si>
  <si>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</si>
  <si>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</si>
  <si>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</si>
  <si>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</si>
  <si>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</si>
  <si>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</si>
  <si>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</si>
  <si>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</si>
  <si>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</si>
  <si>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</si>
  <si>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</si>
  <si>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</si>
  <si>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</si>
  <si>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</si>
  <si>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</si>
  <si>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</si>
  <si>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</si>
  <si>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</si>
  <si>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</si>
  <si>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</si>
  <si>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</si>
  <si>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</si>
  <si>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</si>
  <si>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</si>
  <si>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</si>
  <si>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</si>
  <si>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</si>
  <si>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</si>
  <si>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</si>
  <si>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</si>
  <si>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</si>
  <si>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</si>
  <si>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</si>
  <si>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</si>
  <si>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</si>
  <si>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</si>
  <si>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</si>
  <si>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</si>
  <si>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</si>
  <si>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</si>
  <si>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</si>
  <si>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</si>
  <si>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</si>
  <si>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</si>
  <si>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</si>
  <si>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</si>
  <si>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</si>
  <si>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</si>
  <si>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</si>
  <si>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</si>
  <si>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</si>
  <si>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</si>
  <si>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</si>
  <si>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</si>
  <si>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</si>
  <si>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</si>
  <si>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</si>
  <si>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</si>
  <si>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</si>
  <si>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</si>
  <si>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</si>
  <si>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</si>
  <si>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</si>
  <si>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</si>
  <si>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</si>
  <si>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</si>
  <si>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</si>
  <si>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</si>
  <si>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</si>
  <si>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</si>
  <si>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</si>
  <si>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</si>
  <si>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</si>
  <si>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</si>
  <si>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</si>
  <si>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</si>
  <si>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</si>
  <si>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</si>
  <si>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</si>
  <si>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</si>
  <si>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</si>
  <si>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</si>
  <si>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</si>
  <si>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</si>
  <si>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</si>
  <si>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</si>
  <si>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</si>
  <si>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</si>
  <si>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</si>
  <si>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</si>
  <si>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</si>
  <si>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</si>
  <si>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</si>
  <si>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</si>
  <si>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</si>
  <si>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</si>
  <si>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</si>
  <si>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</si>
  <si>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</si>
  <si>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</si>
  <si>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</si>
  <si>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</si>
  <si>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</si>
  <si>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</si>
  <si>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</si>
  <si>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</si>
  <si>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</si>
  <si>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</si>
  <si>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</si>
  <si>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</si>
  <si>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</si>
  <si>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</si>
  <si>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</si>
  <si>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</si>
  <si>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</si>
  <si>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</si>
  <si>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</si>
  <si>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</si>
  <si>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</si>
  <si>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</si>
  <si>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</si>
  <si>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</si>
  <si>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</si>
  <si>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</si>
  <si>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</si>
  <si>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</si>
  <si>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</si>
  <si>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</si>
  <si>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</si>
  <si>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</si>
  <si>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</si>
  <si>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</si>
  <si>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</si>
  <si>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</si>
  <si>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</si>
  <si>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</si>
  <si>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</si>
  <si>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</si>
  <si>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</si>
  <si>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</si>
  <si>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</si>
  <si>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</si>
  <si>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</si>
  <si>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</si>
  <si>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</si>
  <si>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</si>
  <si>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</si>
  <si>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</si>
  <si>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</si>
  <si>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</si>
  <si>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</si>
  <si>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</si>
  <si>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</si>
  <si>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</si>
  <si>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</si>
  <si>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</si>
  <si>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</si>
  <si>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</si>
  <si>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</si>
  <si>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</si>
  <si>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</si>
  <si>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</si>
  <si>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</si>
  <si>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</si>
  <si>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</si>
  <si>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</si>
  <si>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</si>
  <si>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</si>
  <si>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</si>
  <si>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</si>
  <si>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</si>
  <si>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</si>
  <si>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</si>
  <si>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</si>
  <si>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</si>
  <si>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</si>
  <si>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</si>
  <si>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</si>
  <si>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</si>
  <si>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</si>
  <si>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</si>
  <si>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</si>
  <si>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</si>
  <si>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</si>
  <si>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</si>
  <si>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</si>
  <si>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</si>
  <si>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</si>
  <si>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</si>
  <si>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</si>
  <si>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</si>
  <si>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</si>
  <si>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</si>
  <si>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</si>
  <si>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</si>
  <si>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</si>
  <si>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</si>
  <si>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</si>
  <si>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</si>
  <si>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</si>
  <si>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</si>
  <si>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</si>
  <si>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</si>
  <si>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</si>
  <si>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</si>
  <si>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</si>
  <si>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</si>
  <si>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</si>
  <si>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</si>
  <si>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</si>
  <si>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</si>
  <si>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</si>
  <si>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</si>
  <si>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</si>
  <si>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</si>
  <si>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</si>
  <si>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</si>
  <si>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</si>
  <si>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</si>
  <si>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</si>
  <si>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</si>
  <si>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</si>
  <si>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</si>
  <si>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</si>
  <si>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</si>
  <si>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</si>
  <si>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</si>
  <si>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</si>
  <si>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</si>
  <si>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</si>
  <si>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</si>
  <si>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</si>
  <si>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</si>
  <si>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</si>
  <si>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</si>
  <si>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</si>
  <si>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</si>
  <si>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</si>
  <si>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</si>
  <si>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</si>
  <si>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</si>
  <si>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</si>
  <si>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</si>
  <si>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</si>
  <si>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</si>
  <si>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</si>
  <si>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</si>
  <si>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</si>
  <si>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</si>
  <si>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</si>
  <si>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</si>
  <si>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</si>
  <si>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</si>
  <si>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</si>
  <si>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</si>
  <si>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</si>
  <si>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</si>
  <si>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</si>
  <si>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</si>
  <si>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</si>
  <si>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</si>
  <si>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</si>
  <si>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</si>
  <si>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</si>
  <si>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</si>
  <si>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</si>
  <si>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</si>
  <si>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</si>
  <si>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</si>
  <si>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</si>
  <si>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</si>
  <si>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</si>
  <si>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</si>
  <si>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</si>
  <si>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</si>
  <si>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</si>
  <si>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</si>
  <si>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</si>
  <si>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</si>
  <si>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</si>
  <si>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</si>
  <si>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</si>
  <si>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</si>
  <si>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</si>
  <si>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</si>
  <si>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</si>
  <si>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</si>
  <si>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</si>
  <si>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</si>
  <si>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</si>
  <si>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</si>
  <si>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</si>
  <si>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</si>
  <si>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</si>
  <si>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</si>
  <si>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</si>
  <si>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</si>
  <si>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</si>
  <si>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</si>
  <si>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</si>
  <si>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</si>
  <si>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</si>
  <si>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</si>
  <si>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</si>
  <si>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</si>
  <si>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</si>
  <si>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</si>
  <si>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</si>
  <si>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</si>
  <si>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</si>
  <si>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</si>
  <si>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</si>
  <si>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</si>
  <si>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</si>
  <si>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</si>
  <si>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</si>
  <si>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</si>
  <si>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</si>
  <si>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</si>
  <si>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</si>
  <si>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</si>
  <si>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</si>
  <si>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</si>
  <si>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</si>
  <si>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</si>
  <si>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</si>
  <si>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</si>
  <si>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</si>
  <si>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</si>
  <si>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</si>
  <si>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</si>
  <si>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</si>
  <si>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</si>
  <si>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</si>
  <si>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</si>
  <si>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</si>
  <si>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</si>
  <si>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</si>
  <si>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</si>
  <si>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</si>
  <si>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</si>
  <si>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</si>
  <si>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</si>
  <si>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</si>
  <si>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</si>
  <si>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</si>
  <si>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</si>
  <si>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</si>
  <si>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</si>
  <si>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</si>
  <si>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</si>
  <si>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</si>
  <si>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</si>
  <si>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</si>
  <si>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</si>
  <si>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</si>
  <si>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</si>
  <si>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</si>
  <si>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</si>
  <si>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</si>
  <si>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</si>
  <si>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</si>
  <si>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</si>
  <si>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</si>
  <si>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</si>
  <si>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</si>
  <si>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</si>
  <si>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</si>
  <si>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</si>
  <si>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</si>
  <si>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</si>
  <si>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</si>
  <si>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</si>
  <si>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</si>
  <si>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</si>
  <si>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</si>
  <si>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</si>
  <si>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</si>
  <si>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</si>
  <si>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</si>
  <si>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</si>
  <si>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</si>
  <si>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</si>
  <si>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</si>
  <si>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</si>
  <si>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</si>
  <si>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</si>
  <si>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</si>
  <si>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</si>
  <si>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</si>
  <si>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</si>
  <si>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</si>
  <si>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</si>
  <si>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</si>
  <si>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</si>
  <si>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</si>
  <si>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</si>
  <si>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</si>
  <si>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</si>
  <si>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</si>
  <si>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</si>
  <si>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</si>
  <si>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</si>
  <si>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</si>
  <si>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</si>
  <si>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</si>
  <si>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</si>
  <si>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</si>
  <si>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</si>
  <si>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</si>
  <si>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</si>
  <si>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</si>
  <si>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</si>
  <si>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</si>
  <si>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</si>
  <si>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</si>
  <si>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</si>
  <si>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</si>
  <si>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</si>
  <si>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</si>
  <si>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</si>
  <si>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</si>
  <si>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</si>
  <si>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</si>
  <si>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</si>
  <si>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</si>
  <si>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</si>
  <si>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</si>
  <si>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</si>
  <si>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</si>
  <si>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</si>
  <si>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</si>
  <si>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</si>
  <si>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</si>
  <si>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</si>
  <si>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</si>
  <si>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</si>
  <si>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</si>
  <si>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</si>
  <si>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</si>
  <si>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</si>
  <si>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</si>
  <si>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</si>
  <si>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</si>
  <si>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</si>
  <si>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</si>
  <si>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</si>
  <si>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</si>
  <si>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</si>
  <si>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</si>
  <si>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</si>
  <si>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</si>
  <si>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</si>
  <si>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</si>
  <si>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</si>
  <si>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</si>
  <si>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</si>
  <si>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</si>
  <si>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</si>
  <si>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</si>
  <si>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</si>
  <si>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</si>
  <si>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</si>
  <si>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</si>
  <si>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</si>
  <si>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</si>
  <si>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</si>
  <si>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</si>
  <si>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</si>
  <si>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</si>
  <si>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</si>
  <si>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</si>
  <si>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</si>
  <si>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</si>
  <si>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</si>
  <si>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</si>
  <si>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</si>
  <si>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</si>
  <si>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</si>
  <si>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</si>
  <si>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</si>
  <si>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</si>
  <si>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</si>
  <si>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</si>
  <si>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</si>
  <si>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</si>
  <si>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</si>
  <si>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</si>
  <si>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</si>
  <si>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</si>
  <si>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</si>
  <si>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</si>
  <si>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</si>
  <si>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</si>
  <si>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</si>
  <si>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</si>
  <si>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</si>
  <si>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</si>
  <si>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</si>
  <si>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</si>
  <si>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</si>
  <si>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</si>
  <si>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</si>
  <si>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</si>
  <si>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</si>
  <si>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</si>
  <si>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</si>
  <si>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</si>
  <si>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</si>
  <si>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</si>
  <si>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</si>
  <si>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</si>
  <si>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</si>
  <si>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</si>
  <si>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</si>
  <si>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</si>
  <si>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</si>
  <si>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</si>
  <si>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</si>
  <si>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</si>
  <si>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</si>
  <si>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</si>
  <si>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</si>
  <si>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</si>
  <si>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</si>
  <si>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</si>
  <si>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</si>
  <si>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</si>
  <si>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</si>
  <si>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</si>
  <si>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</si>
  <si>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</si>
  <si>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</si>
  <si>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</si>
  <si>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</si>
  <si>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</si>
  <si>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</si>
  <si>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</si>
  <si>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</si>
  <si>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</si>
  <si>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</si>
  <si>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</si>
  <si>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</si>
  <si>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</si>
  <si>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</si>
  <si>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</si>
  <si>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</si>
  <si>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</si>
  <si>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</si>
  <si>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</si>
  <si>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</si>
  <si>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</si>
  <si>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</si>
  <si>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</si>
  <si>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</si>
  <si>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</si>
  <si>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</si>
  <si>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</si>
  <si>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</si>
  <si>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</si>
  <si>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</si>
  <si>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</si>
  <si>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</si>
  <si>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</si>
  <si>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</si>
  <si>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</si>
  <si>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</si>
  <si>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</si>
  <si>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</si>
  <si>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</si>
  <si>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</si>
  <si>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</si>
  <si>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</si>
  <si>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</si>
  <si>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</si>
  <si>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</si>
  <si>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</si>
  <si>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</si>
  <si>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</si>
  <si>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</si>
  <si>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</si>
  <si>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</si>
  <si>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</si>
  <si>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</si>
  <si>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</si>
  <si>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</si>
  <si>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</si>
  <si>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</si>
  <si>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</si>
  <si>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</si>
  <si>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</si>
  <si>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</si>
  <si>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</si>
  <si>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</si>
  <si>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</si>
  <si>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</si>
  <si>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</si>
  <si>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</si>
  <si>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</si>
  <si>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</si>
  <si>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</si>
  <si>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</si>
  <si>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</si>
  <si>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</si>
  <si>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</si>
  <si>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</si>
  <si>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</si>
  <si>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</si>
  <si>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</si>
  <si>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</si>
  <si>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</si>
  <si>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</si>
  <si>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</si>
  <si>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</si>
  <si>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</si>
  <si>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</si>
  <si>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</si>
  <si>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</si>
  <si>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</si>
  <si>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</si>
  <si>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</si>
  <si>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</si>
  <si>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</si>
  <si>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</si>
  <si>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</si>
  <si>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</si>
  <si>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</si>
  <si>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</si>
  <si>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</si>
  <si>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</si>
  <si>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</si>
  <si>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</si>
  <si>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</si>
  <si>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</si>
  <si>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</si>
  <si>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</si>
  <si>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</si>
  <si>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</si>
  <si>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</si>
  <si>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</si>
  <si>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</si>
  <si>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</si>
  <si>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</si>
  <si>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</si>
  <si>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</si>
  <si>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</si>
  <si>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</si>
  <si>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</si>
  <si>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</si>
  <si>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</si>
  <si>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</si>
  <si>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</si>
  <si>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</si>
  <si>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</si>
  <si>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</si>
  <si>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</si>
  <si>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</si>
  <si>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</si>
  <si>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</si>
  <si>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</si>
  <si>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</si>
  <si>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</si>
  <si>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</si>
  <si>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</si>
  <si>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</si>
  <si>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</si>
  <si>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</si>
  <si>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</si>
  <si>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</si>
  <si>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</si>
  <si>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</si>
  <si>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</si>
  <si>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</si>
  <si>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</si>
  <si>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</si>
  <si>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</si>
  <si>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</si>
  <si>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</si>
  <si>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</si>
  <si>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</si>
  <si>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</si>
  <si>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</si>
  <si>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</si>
  <si>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</si>
  <si>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</si>
  <si>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</si>
  <si>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</si>
  <si>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</si>
  <si>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</si>
  <si>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</si>
  <si>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</si>
  <si>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</si>
  <si>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</si>
  <si>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</si>
  <si>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</si>
  <si>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</si>
  <si>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</si>
  <si>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</si>
  <si>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</si>
  <si>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</si>
  <si>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</si>
  <si>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</si>
  <si>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</si>
  <si>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</si>
  <si>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</si>
  <si>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</si>
  <si>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</si>
  <si>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</si>
  <si>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</si>
  <si>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</si>
  <si>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</si>
  <si>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</si>
  <si>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</si>
  <si>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</si>
  <si>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</si>
  <si>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</si>
  <si>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</si>
  <si>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</si>
  <si>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</si>
  <si>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</si>
  <si>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</si>
  <si>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</si>
  <si>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</si>
  <si>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</si>
  <si>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</si>
  <si>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</si>
  <si>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</si>
  <si>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</si>
  <si>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</si>
  <si>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</si>
  <si>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</si>
  <si>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</si>
  <si>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</si>
  <si>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</si>
  <si>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</si>
  <si>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</si>
  <si>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</si>
  <si>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</si>
  <si>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</si>
  <si>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</si>
  <si>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</si>
  <si>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</si>
  <si>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</si>
  <si>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</si>
  <si>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</si>
  <si>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</si>
  <si>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</si>
  <si>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</si>
  <si>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</si>
  <si>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</si>
  <si>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</si>
  <si>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</si>
  <si>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</si>
  <si>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</si>
  <si>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</si>
  <si>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</si>
  <si>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</si>
  <si>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</si>
  <si>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</si>
  <si>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</si>
  <si>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</si>
  <si>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</si>
  <si>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</si>
  <si>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</si>
  <si>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</si>
  <si>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</si>
  <si>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</si>
  <si>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</si>
  <si>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</si>
  <si>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</si>
  <si>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</si>
  <si>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</si>
  <si>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</si>
  <si>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</si>
  <si>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</si>
  <si>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</si>
  <si>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</si>
  <si>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</si>
  <si>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</si>
  <si>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</si>
  <si>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</si>
  <si>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</si>
  <si>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</si>
  <si>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</si>
  <si>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</si>
  <si>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</si>
  <si>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</si>
  <si>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</si>
  <si>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</si>
  <si>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</si>
  <si>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</si>
  <si>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</si>
  <si>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</si>
  <si>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</si>
  <si>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</si>
  <si>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</si>
  <si>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</si>
  <si>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</si>
  <si>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</si>
  <si>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</si>
  <si>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</si>
  <si>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</si>
  <si>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</si>
  <si>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</si>
  <si>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</si>
  <si>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</si>
  <si>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</si>
  <si>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</si>
  <si>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</si>
  <si>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</si>
  <si>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</si>
  <si>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</si>
  <si>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</si>
  <si>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</si>
  <si>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</si>
  <si>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</si>
  <si>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</si>
  <si>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</si>
  <si>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</si>
  <si>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</si>
  <si>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</si>
  <si>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</si>
  <si>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</si>
  <si>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</si>
  <si>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</si>
  <si>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</si>
  <si>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</si>
  <si>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</si>
  <si>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</si>
  <si>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</si>
  <si>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</si>
  <si>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</si>
  <si>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</si>
  <si>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</si>
  <si>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</si>
  <si>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</si>
  <si>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</si>
  <si>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</si>
  <si>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</si>
  <si>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</si>
  <si>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</si>
  <si>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</si>
  <si>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</si>
  <si>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</si>
  <si>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</si>
  <si>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</si>
  <si>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</si>
  <si>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</si>
  <si>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</si>
  <si>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</si>
  <si>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</si>
  <si>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</si>
  <si>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</si>
  <si>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</si>
  <si>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</si>
  <si>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</si>
  <si>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</si>
  <si>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</si>
  <si>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</si>
  <si>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</si>
  <si>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</si>
  <si>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</si>
  <si>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</si>
  <si>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</si>
  <si>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</si>
  <si>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</si>
  <si>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</si>
  <si>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</si>
  <si>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</si>
  <si>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</si>
  <si>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</si>
  <si>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</si>
  <si>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</si>
  <si>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</si>
  <si>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</si>
  <si>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</si>
  <si>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</si>
  <si>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</si>
  <si>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</si>
  <si>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</si>
  <si>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</si>
  <si>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</si>
  <si>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</si>
  <si>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</si>
  <si>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</si>
  <si>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</si>
  <si>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</si>
  <si>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</si>
  <si>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</si>
  <si>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</si>
  <si>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</si>
  <si>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</si>
  <si>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</si>
  <si>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</si>
  <si>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</si>
  <si>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</si>
  <si>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</si>
  <si>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</si>
  <si>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</si>
  <si>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</si>
  <si>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</si>
  <si>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</si>
  <si>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</si>
  <si>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</si>
  <si>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</si>
  <si>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</si>
  <si>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</si>
  <si>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</si>
  <si>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</si>
  <si>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</si>
  <si>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</si>
  <si>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</si>
  <si>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</si>
  <si>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</si>
  <si>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</si>
  <si>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</si>
  <si>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</si>
  <si>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</si>
  <si>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</si>
  <si>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</si>
  <si>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</si>
  <si>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</si>
  <si>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</si>
  <si>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</si>
  <si>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</si>
  <si>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</si>
  <si>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</si>
  <si>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</si>
  <si>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</si>
  <si>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</si>
  <si>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</si>
  <si>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</si>
  <si>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</si>
  <si>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</si>
  <si>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</si>
  <si>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</si>
  <si>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</si>
  <si>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</si>
  <si>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</si>
  <si>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</si>
  <si>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</si>
  <si>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</si>
  <si>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</si>
  <si>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</si>
  <si>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</si>
  <si>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</si>
  <si>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</si>
  <si>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</si>
  <si>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</si>
  <si>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</si>
  <si>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</si>
  <si>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</si>
  <si>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</si>
  <si>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</si>
  <si>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</si>
  <si>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</si>
  <si>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</si>
  <si>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</si>
  <si>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</si>
  <si>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</si>
  <si>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</si>
  <si>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</si>
  <si>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</si>
  <si>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</si>
  <si>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</si>
  <si>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</si>
  <si>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</si>
  <si>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</si>
  <si>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</si>
  <si>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</si>
  <si>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</si>
  <si>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</si>
  <si>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</si>
  <si>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</si>
  <si>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</si>
  <si>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</si>
  <si>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</si>
  <si>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</si>
  <si>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</si>
  <si>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</si>
  <si>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</si>
  <si>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</si>
  <si>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</si>
  <si>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</si>
  <si>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</si>
  <si>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</si>
  <si>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</si>
  <si>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</si>
  <si>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</si>
  <si>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</si>
  <si>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</si>
  <si>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</si>
  <si>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</si>
  <si>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</si>
  <si>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</si>
  <si>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</si>
  <si>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</si>
  <si>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</si>
  <si>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</si>
  <si>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</si>
  <si>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</si>
  <si>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</si>
  <si>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</si>
  <si>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</si>
  <si>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</si>
  <si>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</si>
  <si>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</si>
  <si>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</si>
  <si>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</si>
  <si>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</si>
  <si>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</si>
  <si>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</si>
  <si>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</si>
  <si>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</si>
  <si>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</si>
  <si>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</si>
  <si>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</si>
  <si>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</si>
  <si>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</si>
  <si>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</si>
  <si>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</si>
  <si>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</si>
  <si>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</si>
  <si>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</si>
  <si>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</si>
  <si>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</si>
  <si>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</si>
  <si>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</si>
  <si>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</si>
  <si>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</si>
  <si>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</si>
  <si>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</si>
  <si>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</si>
  <si>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</si>
  <si>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</si>
  <si>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</si>
  <si>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</si>
  <si>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</si>
  <si>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</si>
  <si>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</si>
  <si>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</si>
  <si>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</si>
  <si>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</si>
  <si>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</si>
  <si>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</si>
  <si>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</si>
  <si>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</si>
  <si>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</si>
  <si>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</si>
  <si>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</si>
  <si>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</si>
  <si>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</si>
  <si>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</si>
  <si>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</si>
  <si>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</si>
  <si>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</si>
  <si>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</si>
  <si>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</si>
  <si>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</si>
  <si>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</si>
  <si>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</si>
  <si>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</si>
  <si>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</si>
  <si>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</si>
  <si>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</si>
  <si>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</si>
  <si>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</si>
  <si>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</si>
  <si>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</si>
  <si>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</si>
  <si>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</si>
  <si>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</si>
  <si>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</si>
  <si>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</si>
  <si>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</si>
  <si>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</si>
  <si>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</si>
  <si>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</si>
  <si>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</si>
  <si>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</si>
  <si>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</si>
  <si>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</si>
  <si>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</si>
  <si>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</si>
  <si>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</si>
  <si>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</si>
  <si>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</si>
  <si>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</si>
  <si>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</si>
  <si>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</si>
  <si>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</si>
  <si>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</si>
  <si>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</si>
  <si>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</si>
  <si>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</si>
  <si>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</si>
  <si>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</si>
  <si>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</si>
  <si>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</si>
  <si>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</si>
  <si>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</si>
  <si>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</si>
  <si>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</si>
  <si>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</si>
  <si>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</si>
  <si>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</si>
  <si>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</si>
  <si>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</si>
  <si>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</si>
  <si>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</si>
  <si>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</si>
  <si>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</si>
  <si>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</si>
  <si>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</si>
  <si>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</si>
  <si>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</si>
  <si>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</si>
  <si>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</si>
  <si>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</si>
  <si>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</si>
  <si>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</si>
  <si>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</si>
  <si>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</si>
  <si>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</si>
  <si>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</si>
  <si>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</si>
  <si>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</si>
  <si>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</si>
  <si>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</si>
  <si>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</si>
  <si>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</si>
  <si>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</si>
  <si>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</si>
  <si>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</si>
  <si>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</si>
  <si>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</si>
  <si>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</si>
  <si>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</si>
  <si>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</si>
  <si>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</si>
  <si>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</si>
  <si>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</si>
  <si>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</si>
  <si>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</si>
  <si>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</si>
  <si>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</si>
  <si>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</si>
  <si>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</si>
  <si>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</si>
  <si>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</si>
  <si>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</si>
  <si>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</si>
  <si>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</si>
  <si>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</si>
  <si>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</si>
  <si>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</si>
  <si>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</si>
  <si>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</si>
  <si>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</si>
  <si>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</si>
  <si>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</si>
  <si>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</si>
  <si>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</si>
  <si>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</si>
  <si>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</si>
  <si>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</si>
  <si>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</si>
  <si>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</si>
  <si>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</si>
  <si>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</si>
  <si>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</si>
  <si>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</si>
  <si>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</si>
  <si>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</si>
  <si>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</si>
  <si>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</si>
  <si>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</si>
  <si>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</si>
  <si>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</si>
  <si>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</si>
  <si>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</si>
  <si>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</si>
  <si>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</si>
  <si>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</si>
  <si>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</si>
  <si>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</si>
  <si>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</si>
  <si>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</si>
  <si>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</si>
  <si>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</si>
  <si>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</si>
  <si>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</si>
  <si>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</si>
  <si>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</si>
  <si>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</si>
  <si>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</si>
  <si>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</si>
  <si>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</si>
  <si>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</si>
  <si>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</si>
  <si>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</si>
  <si>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</si>
  <si>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</si>
  <si>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</si>
  <si>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</si>
  <si>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</si>
  <si>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</si>
  <si>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</si>
  <si>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</si>
  <si>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</si>
  <si>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</si>
  <si>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</si>
  <si>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</si>
  <si>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</si>
  <si>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</si>
  <si>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</si>
  <si>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</si>
  <si>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</si>
  <si>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</si>
  <si>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</si>
  <si>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</si>
  <si>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</si>
  <si>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</si>
  <si>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</si>
  <si>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</si>
  <si>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</si>
  <si>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</si>
  <si>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</si>
  <si>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</si>
  <si>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</si>
  <si>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</si>
  <si>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</si>
  <si>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</si>
  <si>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</si>
  <si>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</si>
  <si>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</si>
  <si>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</si>
  <si>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</si>
  <si>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</si>
  <si>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</si>
  <si>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</si>
  <si>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</si>
  <si>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</si>
  <si>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</si>
  <si>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</si>
  <si>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</si>
  <si>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</si>
  <si>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</si>
  <si>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</si>
  <si>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</si>
  <si>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</si>
  <si>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</si>
  <si>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</si>
  <si>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</si>
  <si>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</si>
  <si>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</si>
  <si>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</si>
  <si>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</si>
  <si>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</si>
  <si>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</si>
  <si>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</si>
  <si>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</si>
  <si>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</si>
  <si>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</si>
  <si>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</si>
  <si>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</si>
  <si>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</si>
  <si>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</si>
  <si>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</si>
  <si>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</si>
  <si>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</si>
  <si>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</si>
  <si>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</si>
  <si>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</si>
  <si>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</si>
  <si>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</si>
  <si>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</si>
  <si>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</si>
  <si>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</si>
  <si>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</si>
  <si>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</si>
  <si>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</si>
  <si>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</si>
  <si>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</si>
  <si>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</si>
  <si>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</si>
  <si>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</si>
  <si>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</si>
  <si>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</si>
  <si>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</si>
  <si>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</si>
  <si>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</si>
  <si>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</si>
  <si>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</si>
  <si>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</si>
  <si>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</si>
  <si>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</si>
  <si>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</si>
  <si>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</si>
  <si>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</si>
  <si>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</si>
  <si>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</si>
  <si>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</si>
  <si>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</si>
  <si>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</si>
  <si>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</si>
  <si>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</si>
  <si>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</si>
  <si>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</si>
  <si>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</si>
  <si>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</si>
  <si>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</si>
  <si>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</si>
  <si>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</si>
  <si>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</si>
  <si>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</si>
  <si>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</si>
  <si>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</si>
  <si>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</si>
  <si>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</si>
  <si>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</si>
  <si>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</si>
  <si>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</si>
  <si>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</si>
  <si>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</si>
  <si>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</si>
  <si>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</si>
  <si>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</si>
  <si>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</si>
  <si>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</si>
  <si>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</si>
  <si>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</si>
  <si>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</si>
  <si>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</si>
  <si>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</si>
  <si>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</si>
  <si>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</si>
  <si>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</si>
  <si>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</si>
  <si>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</si>
  <si>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</si>
  <si>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</si>
  <si>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</si>
  <si>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</si>
  <si>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</si>
  <si>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</si>
  <si>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</si>
  <si>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</si>
  <si>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</si>
  <si>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</si>
  <si>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</si>
  <si>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</si>
  <si>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</si>
  <si>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</si>
  <si>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</si>
  <si>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</si>
  <si>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</si>
  <si>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</si>
  <si>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</si>
  <si>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</si>
  <si>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</si>
  <si>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</si>
  <si>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</si>
  <si>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</si>
  <si>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</si>
  <si>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</si>
  <si>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</si>
  <si>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</si>
  <si>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</si>
  <si>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</si>
  <si>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</si>
  <si>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</si>
  <si>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</si>
  <si>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</si>
  <si>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</si>
  <si>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</si>
  <si>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</si>
  <si>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</si>
  <si>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</si>
  <si>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</si>
  <si>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</si>
  <si>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</si>
  <si>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</si>
  <si>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</si>
  <si>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</si>
  <si>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</si>
  <si>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</si>
  <si>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</si>
  <si>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</si>
  <si>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</si>
  <si>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</si>
  <si>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</si>
  <si>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</si>
  <si>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</si>
  <si>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</si>
  <si>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</si>
  <si>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</si>
  <si>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</si>
  <si>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</si>
  <si>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</si>
  <si>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</si>
  <si>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</si>
  <si>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</si>
  <si>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</si>
  <si>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</si>
  <si>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</si>
  <si>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</si>
  <si>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</si>
  <si>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</si>
  <si>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</si>
  <si>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</si>
  <si>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</si>
  <si>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</si>
  <si>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</si>
  <si>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</si>
  <si>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</si>
  <si>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</si>
  <si>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</si>
  <si>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</si>
  <si>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</si>
  <si>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</si>
  <si>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</si>
  <si>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</si>
  <si>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</si>
  <si>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</si>
  <si>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</si>
  <si>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</si>
  <si>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</si>
  <si>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</si>
  <si>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</si>
  <si>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</si>
  <si>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</si>
  <si>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</si>
  <si>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</si>
  <si>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</si>
  <si>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</si>
  <si>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</si>
  <si>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</si>
  <si>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</si>
  <si>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</si>
  <si>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</si>
  <si>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</si>
  <si>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</si>
  <si>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</si>
  <si>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</si>
  <si>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</si>
  <si>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</si>
  <si>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</si>
  <si>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</si>
  <si>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</si>
  <si>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</si>
  <si>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</si>
  <si>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</si>
  <si>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</si>
  <si>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</si>
  <si>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</si>
  <si>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</si>
  <si>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</si>
  <si>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</si>
  <si>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</si>
  <si>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</si>
  <si>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</si>
  <si>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</si>
  <si>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</si>
  <si>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</si>
  <si>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</si>
  <si>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</si>
  <si>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</si>
  <si>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</si>
  <si>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</si>
  <si>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</si>
  <si>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</si>
  <si>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</si>
  <si>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</si>
  <si>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</si>
  <si>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</si>
  <si>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</si>
  <si>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</si>
  <si>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</si>
  <si>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</si>
  <si>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</si>
  <si>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</si>
  <si>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</si>
  <si>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</si>
  <si>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</si>
  <si>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</si>
  <si>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</si>
  <si>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</si>
  <si>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</si>
  <si>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</si>
  <si>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</si>
  <si>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</si>
  <si>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</si>
  <si>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</si>
  <si>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</si>
  <si>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</si>
  <si>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</si>
  <si>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</si>
  <si>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</si>
  <si>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</si>
  <si>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</si>
  <si>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</si>
  <si>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</si>
  <si>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</si>
  <si>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</si>
  <si>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</si>
  <si>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</si>
  <si>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</si>
  <si>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</si>
  <si>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</si>
  <si>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</si>
  <si>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</si>
  <si>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</si>
  <si>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</si>
  <si>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</si>
  <si>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</si>
  <si>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</si>
  <si>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</si>
  <si>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</si>
  <si>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</si>
  <si>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</si>
  <si>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</si>
  <si>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</si>
  <si>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</si>
  <si>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</si>
  <si>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</si>
  <si>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</si>
  <si>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</si>
  <si>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</si>
  <si>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</si>
  <si>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</si>
  <si>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</si>
  <si>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</si>
  <si>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</si>
  <si>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</si>
  <si>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</si>
  <si>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</si>
  <si>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</si>
  <si>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</si>
  <si>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</si>
  <si>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</si>
  <si>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</si>
  <si>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</si>
  <si>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</si>
  <si>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</si>
  <si>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</si>
  <si>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</si>
  <si>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</si>
  <si>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</si>
  <si>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</si>
  <si>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</si>
  <si>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</si>
  <si>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</si>
  <si>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</si>
  <si>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</si>
  <si>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</si>
  <si>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</si>
  <si>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</si>
  <si>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</si>
  <si>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</si>
  <si>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</si>
  <si>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</si>
  <si>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</si>
  <si>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</si>
  <si>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</si>
  <si>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</si>
  <si>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</si>
  <si>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</si>
  <si>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</si>
  <si>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</si>
  <si>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</si>
  <si>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</si>
  <si>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</si>
  <si>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</si>
  <si>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</si>
  <si>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</si>
  <si>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</si>
  <si>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</si>
  <si>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</si>
  <si>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</si>
  <si>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</si>
  <si>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</si>
  <si>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</si>
  <si>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</si>
  <si>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</si>
  <si>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</si>
  <si>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</si>
  <si>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</si>
  <si>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</si>
  <si>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</si>
  <si>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</si>
  <si>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</si>
  <si>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</si>
  <si>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</si>
  <si>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</si>
  <si>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</si>
  <si>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</si>
  <si>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</si>
  <si>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</si>
  <si>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</si>
  <si>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</si>
  <si>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</si>
  <si>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</si>
  <si>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</si>
  <si>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</si>
  <si>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</si>
  <si>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</si>
  <si>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</si>
  <si>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</si>
  <si>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</si>
  <si>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</si>
  <si>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</si>
  <si>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</si>
  <si>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</si>
  <si>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</si>
  <si>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</si>
  <si>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</si>
  <si>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</si>
  <si>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</si>
  <si>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</si>
  <si>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</si>
  <si>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</si>
  <si>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</si>
  <si>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</si>
  <si>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</si>
  <si>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</si>
  <si>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</si>
  <si>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</si>
  <si>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</si>
  <si>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</si>
  <si>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</si>
  <si>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</si>
  <si>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</si>
  <si>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</si>
  <si>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</si>
  <si>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</si>
  <si>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</si>
  <si>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</si>
  <si>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</si>
  <si>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</si>
  <si>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</si>
  <si>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</si>
  <si>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</si>
  <si>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</si>
  <si>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</si>
  <si>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</si>
  <si>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</si>
  <si>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</si>
  <si>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</si>
  <si>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</si>
  <si>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</si>
  <si>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</si>
  <si>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</si>
  <si>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</si>
  <si>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</si>
  <si>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</si>
  <si>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</si>
  <si>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</si>
  <si>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</si>
  <si>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</si>
  <si>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</si>
  <si>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</si>
  <si>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</si>
  <si>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</si>
  <si>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</si>
  <si>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</si>
  <si>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</si>
  <si>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</si>
  <si>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</si>
  <si>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</si>
  <si>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</si>
  <si>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</si>
  <si>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</si>
  <si>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</si>
  <si>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</si>
  <si>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</si>
  <si>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</si>
  <si>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</si>
  <si>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</si>
  <si>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</si>
  <si>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</si>
  <si>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</si>
  <si>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</si>
  <si>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</si>
  <si>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</si>
  <si>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</si>
  <si>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</si>
  <si>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</si>
  <si>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</si>
  <si>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</si>
  <si>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</si>
  <si>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</si>
  <si>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</si>
  <si>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</si>
  <si>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</si>
  <si>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</si>
  <si>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</si>
  <si>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</si>
  <si>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</si>
  <si>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</si>
  <si>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</si>
  <si>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</si>
  <si>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</si>
  <si>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</si>
  <si>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</si>
  <si>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</si>
  <si>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</si>
  <si>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</si>
  <si>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</si>
  <si>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</si>
  <si>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</si>
  <si>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</si>
  <si>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</si>
  <si>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</si>
  <si>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</si>
  <si>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</si>
  <si>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</si>
  <si>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</si>
  <si>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</si>
  <si>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</si>
  <si>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</si>
  <si>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</si>
  <si>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</si>
  <si>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</si>
  <si>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</si>
  <si>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</si>
  <si>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</si>
  <si>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</si>
  <si>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</si>
  <si>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</si>
  <si>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</si>
  <si>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</si>
  <si>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</si>
  <si>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</si>
  <si>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</si>
  <si>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</si>
  <si>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</si>
  <si>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</si>
  <si>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</si>
  <si>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</si>
  <si>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</si>
  <si>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</si>
  <si>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</si>
  <si>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</si>
  <si>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</si>
  <si>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</si>
  <si>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</si>
  <si>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</si>
  <si>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</si>
  <si>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</si>
  <si>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</si>
  <si>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</si>
  <si>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</si>
  <si>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</si>
  <si>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</si>
  <si>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</si>
  <si>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</si>
  <si>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</si>
  <si>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</si>
  <si>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</si>
  <si>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</si>
  <si>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</si>
  <si>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</si>
  <si>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</si>
  <si>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</si>
  <si>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</si>
  <si>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</si>
  <si>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</si>
  <si>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</si>
  <si>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</si>
  <si>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</si>
  <si>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</si>
  <si>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</si>
  <si>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</si>
  <si>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</si>
  <si>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</si>
  <si>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</si>
  <si>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</si>
  <si>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</si>
  <si>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</si>
  <si>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</si>
  <si>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</si>
  <si>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</si>
  <si>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</si>
  <si>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</si>
  <si>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</si>
  <si>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</si>
  <si>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</si>
  <si>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</si>
  <si>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</si>
  <si>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</si>
  <si>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</si>
  <si>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</si>
  <si>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</si>
  <si>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</si>
  <si>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</si>
  <si>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</si>
  <si>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</si>
  <si>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</si>
  <si>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</si>
  <si>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</si>
  <si>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</si>
  <si>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</si>
  <si>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</si>
  <si>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</si>
  <si>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</si>
  <si>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</si>
  <si>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</si>
  <si>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</si>
  <si>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</si>
  <si>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</si>
  <si>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</si>
  <si>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</si>
  <si>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</si>
  <si>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</si>
  <si>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</si>
  <si>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</si>
  <si>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</si>
  <si>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</si>
  <si>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</si>
  <si>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</si>
  <si>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</si>
  <si>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</si>
  <si>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</si>
  <si>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</si>
  <si>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</si>
  <si>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</si>
  <si>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</si>
  <si>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</si>
  <si>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</si>
  <si>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</si>
  <si>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</si>
  <si>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</si>
  <si>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</si>
  <si>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</si>
  <si>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</si>
  <si>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</si>
  <si>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</si>
  <si>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</si>
  <si>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</si>
  <si>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</si>
  <si>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</si>
  <si>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</si>
  <si>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</si>
  <si>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</si>
  <si>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</si>
  <si>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</si>
  <si>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</si>
  <si>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</si>
  <si>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</si>
  <si>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</si>
  <si>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</si>
  <si>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</si>
  <si>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</si>
  <si>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</si>
  <si>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</si>
  <si>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</si>
  <si>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</si>
  <si>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</si>
  <si>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</si>
  <si>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</si>
  <si>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</si>
  <si>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</si>
  <si>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</si>
  <si>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</si>
  <si>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</si>
  <si>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</si>
  <si>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</si>
  <si>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</si>
  <si>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</si>
  <si>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</si>
  <si>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</si>
  <si>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</si>
  <si>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</si>
  <si>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</si>
  <si>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</si>
  <si>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</si>
  <si>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</si>
  <si>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</si>
  <si>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</si>
  <si>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</si>
  <si>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</si>
  <si>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</si>
  <si>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</si>
  <si>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</si>
  <si>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</si>
  <si>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</si>
  <si>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</si>
  <si>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</si>
  <si>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</si>
  <si>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</si>
  <si>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</si>
  <si>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</si>
  <si>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</si>
  <si>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</si>
  <si>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</si>
  <si>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</si>
  <si>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</si>
  <si>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</si>
  <si>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</si>
  <si>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</si>
  <si>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</si>
  <si>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</si>
  <si>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</si>
  <si>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</si>
  <si>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</si>
  <si>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</si>
  <si>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</si>
  <si>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</si>
  <si>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</si>
  <si>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</si>
  <si>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</si>
  <si>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</si>
  <si>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</si>
  <si>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</si>
  <si>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</si>
  <si>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</si>
  <si>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</si>
  <si>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</si>
  <si>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</si>
  <si>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</si>
  <si>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</si>
  <si>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</si>
  <si>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</si>
  <si>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</si>
  <si>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</si>
  <si>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</si>
  <si>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</si>
  <si>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</si>
  <si>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</si>
  <si>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</si>
  <si>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</si>
  <si>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</si>
  <si>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</si>
  <si>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</si>
  <si>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</si>
  <si>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</si>
  <si>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</si>
  <si>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</si>
  <si>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</si>
  <si>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</si>
  <si>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</si>
  <si>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</si>
  <si>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</si>
  <si>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</si>
  <si>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</si>
  <si>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</si>
  <si>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</si>
  <si>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</si>
  <si>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</si>
  <si>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</si>
  <si>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</si>
  <si>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</si>
  <si>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</si>
  <si>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</si>
  <si>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</si>
  <si>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</si>
  <si>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</si>
  <si>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</si>
  <si>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</si>
  <si>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</si>
  <si>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</si>
  <si>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</si>
  <si>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</si>
  <si>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</si>
  <si>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</si>
  <si>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</si>
  <si>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</si>
  <si>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</si>
  <si>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</si>
  <si>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</si>
  <si>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</si>
  <si>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</si>
  <si>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</si>
  <si>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</si>
  <si>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</si>
  <si>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</si>
  <si>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</si>
  <si>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</si>
  <si>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</si>
  <si>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</si>
  <si>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</si>
  <si>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</si>
  <si>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</si>
  <si>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</si>
  <si>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</si>
  <si>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</si>
  <si>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</si>
  <si>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</si>
  <si>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</si>
  <si>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</si>
  <si>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</si>
  <si>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</si>
  <si>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</si>
  <si>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</si>
  <si>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</si>
  <si>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</si>
  <si>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</si>
  <si>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</si>
  <si>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</si>
  <si>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</si>
  <si>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</si>
  <si>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</si>
  <si>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</si>
  <si>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</si>
  <si>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</si>
  <si>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</si>
  <si>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</si>
  <si>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</si>
  <si>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</si>
  <si>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</si>
  <si>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</si>
  <si>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</si>
  <si>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</si>
  <si>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</si>
  <si>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</si>
  <si>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</si>
  <si>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</si>
  <si>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</si>
  <si>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</si>
  <si>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</si>
  <si>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</si>
  <si>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</si>
  <si>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</si>
  <si>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</si>
  <si>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</si>
  <si>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</si>
  <si>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</si>
  <si>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</si>
  <si>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</si>
  <si>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</si>
  <si>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</si>
  <si>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</si>
  <si>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</si>
  <si>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</si>
  <si>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</si>
  <si>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</si>
  <si>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</si>
  <si>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</si>
  <si>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</si>
  <si>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</si>
  <si>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</si>
  <si>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</si>
  <si>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</si>
  <si>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</si>
  <si>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</si>
  <si>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</si>
  <si>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</si>
  <si>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</si>
  <si>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</si>
  <si>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</si>
  <si>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</si>
  <si>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</si>
  <si>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</si>
  <si>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</si>
  <si>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</si>
  <si>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</si>
  <si>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</si>
  <si>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</si>
  <si>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</si>
  <si>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</si>
  <si>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</si>
  <si>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</si>
  <si>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</si>
  <si>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</si>
  <si>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</si>
  <si>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</si>
  <si>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</si>
  <si>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</si>
  <si>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</si>
  <si>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</si>
  <si>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</si>
  <si>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</si>
  <si>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</si>
  <si>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</si>
  <si>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</si>
  <si>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</si>
  <si>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</si>
  <si>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</si>
  <si>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</si>
  <si>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</si>
  <si>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</si>
  <si>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</si>
  <si>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</si>
  <si>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</si>
  <si>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</si>
  <si>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</si>
  <si>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</si>
  <si>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</si>
  <si>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</si>
  <si>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</si>
  <si>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</si>
  <si>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</si>
  <si>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</si>
  <si>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</si>
  <si>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</si>
  <si>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</si>
  <si>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</si>
  <si>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</si>
  <si>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</si>
  <si>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</si>
  <si>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</si>
  <si>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</si>
  <si>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</si>
  <si>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</si>
  <si>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</si>
  <si>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</si>
  <si>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</si>
  <si>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</si>
  <si>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</si>
  <si>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</si>
  <si>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</si>
  <si>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</si>
  <si>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</si>
  <si>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</si>
  <si>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</si>
  <si>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</si>
  <si>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</si>
  <si>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</si>
  <si>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</si>
  <si>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</si>
  <si>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</si>
  <si>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</si>
  <si>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</si>
  <si>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</si>
  <si>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</si>
  <si>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</si>
  <si>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</si>
  <si>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</si>
  <si>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</si>
  <si>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</si>
  <si>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</si>
  <si>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</si>
  <si>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</si>
  <si>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</si>
  <si>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</si>
  <si>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</si>
  <si>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</si>
  <si>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</si>
  <si>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</si>
  <si>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</si>
  <si>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</si>
  <si>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</si>
  <si>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</si>
  <si>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</si>
  <si>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</si>
  <si>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</si>
  <si>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</si>
  <si>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</si>
  <si>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</si>
  <si>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</si>
  <si>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</si>
  <si>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</si>
  <si>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</si>
  <si>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</si>
  <si>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</si>
  <si>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</si>
  <si>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</si>
  <si>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</si>
  <si>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</si>
  <si>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</si>
  <si>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</si>
  <si>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</si>
  <si>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</si>
  <si>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</si>
  <si>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</si>
  <si>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</si>
  <si>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</si>
  <si>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</si>
  <si>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</si>
  <si>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</si>
  <si>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</si>
  <si>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</si>
  <si>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</si>
  <si>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</si>
  <si>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</si>
  <si>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</si>
  <si>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</si>
  <si>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</si>
  <si>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</si>
  <si>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</si>
  <si>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</si>
  <si>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</si>
  <si>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</si>
  <si>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</si>
  <si>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</si>
  <si>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</si>
  <si>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</si>
  <si>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</si>
  <si>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</si>
  <si>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</si>
  <si>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</si>
  <si>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</si>
  <si>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</si>
  <si>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</si>
  <si>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</si>
  <si>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</si>
  <si>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</si>
  <si>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</si>
  <si>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</si>
  <si>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</si>
  <si>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</si>
  <si>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</si>
  <si>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</si>
  <si>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</si>
  <si>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</si>
  <si>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</si>
  <si>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</si>
  <si>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</si>
  <si>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</si>
  <si>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</si>
  <si>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</si>
  <si>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</si>
  <si>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</si>
  <si>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</si>
  <si>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</si>
  <si>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</si>
  <si>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</si>
  <si>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</si>
  <si>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</si>
  <si>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</si>
  <si>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</si>
  <si>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</si>
  <si>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</si>
  <si>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</si>
  <si>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</si>
  <si>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</si>
  <si>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</si>
  <si>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</si>
  <si>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</si>
  <si>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</si>
  <si>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</si>
  <si>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</si>
  <si>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</si>
  <si>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</si>
  <si>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</si>
  <si>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</si>
  <si>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</si>
  <si>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</si>
  <si>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</si>
  <si>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</si>
  <si>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</si>
  <si>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</si>
  <si>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</si>
  <si>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</si>
  <si>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</si>
  <si>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</si>
  <si>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</si>
  <si>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</si>
  <si>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</si>
  <si>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</si>
  <si>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</si>
  <si>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</si>
  <si>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</si>
  <si>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</si>
  <si>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</si>
  <si>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</si>
  <si>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</si>
  <si>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</si>
  <si>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</si>
  <si>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</si>
  <si>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</si>
  <si>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</si>
  <si>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</si>
  <si>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</si>
  <si>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</si>
  <si>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</si>
  <si>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</si>
  <si>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</si>
  <si>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</si>
  <si>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</si>
  <si>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</si>
  <si>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</si>
  <si>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</si>
  <si>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</si>
  <si>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</si>
  <si>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</si>
  <si>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</si>
  <si>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</si>
  <si>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</si>
  <si>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</si>
  <si>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</si>
  <si>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</si>
  <si>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</si>
  <si>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</si>
  <si>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</si>
  <si>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</si>
  <si>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</si>
  <si>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</si>
  <si>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</si>
  <si>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</si>
  <si>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</si>
  <si>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</si>
  <si>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</si>
  <si>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</si>
  <si>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</si>
  <si>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</si>
  <si>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</si>
  <si>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</si>
  <si>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</si>
  <si>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</si>
  <si>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</si>
  <si>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</si>
  <si>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</si>
  <si>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</si>
  <si>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</si>
  <si>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</si>
  <si>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</si>
  <si>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</si>
  <si>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</si>
  <si>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</si>
  <si>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</si>
  <si>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</si>
  <si>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</si>
  <si>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</si>
  <si>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</si>
  <si>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</si>
  <si>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</si>
  <si>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</si>
  <si>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</si>
  <si>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</si>
  <si>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</si>
  <si>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</si>
  <si>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</si>
  <si>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</si>
  <si>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</si>
  <si>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</si>
  <si>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</si>
  <si>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</si>
  <si>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</si>
  <si>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</si>
  <si>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</si>
  <si>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</si>
  <si>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</si>
  <si>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</si>
  <si>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</si>
  <si>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</si>
  <si>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</si>
  <si>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</si>
  <si>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</si>
  <si>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</si>
  <si>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</si>
  <si>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</si>
  <si>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</si>
  <si>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</si>
  <si>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</si>
  <si>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</si>
  <si>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</si>
  <si>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</si>
  <si>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</si>
  <si>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</si>
  <si>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</si>
  <si>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</si>
  <si>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</si>
  <si>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</si>
  <si>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</si>
  <si>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</si>
  <si>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</si>
  <si>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</si>
  <si>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</si>
  <si>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</si>
  <si>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</si>
  <si>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</si>
  <si>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</si>
  <si>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</si>
  <si>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</si>
  <si>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</si>
  <si>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</si>
  <si>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</si>
  <si>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</si>
  <si>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</si>
  <si>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</si>
  <si>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</si>
  <si>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</si>
  <si>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</si>
  <si>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</si>
  <si>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</si>
  <si>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</si>
  <si>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</si>
  <si>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</si>
  <si>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</si>
  <si>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</si>
  <si>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</si>
  <si>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</si>
  <si>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</si>
  <si>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</si>
  <si>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</si>
  <si>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</si>
  <si>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</si>
  <si>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</si>
  <si>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</si>
  <si>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</si>
  <si>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</si>
  <si>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</si>
  <si>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</si>
  <si>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</si>
  <si>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</si>
  <si>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</si>
  <si>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</si>
  <si>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</si>
  <si>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</si>
  <si>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</si>
  <si>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</si>
  <si>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</si>
  <si>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</si>
  <si>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</si>
  <si>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</si>
  <si>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</si>
  <si>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</si>
  <si>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</si>
  <si>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</si>
  <si>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</si>
  <si>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</si>
  <si>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</si>
  <si>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</si>
  <si>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</si>
  <si>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</si>
  <si>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</si>
  <si>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</si>
  <si>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</si>
  <si>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</si>
  <si>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</si>
  <si>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</si>
  <si>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</si>
  <si>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</si>
  <si>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</si>
  <si>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</si>
  <si>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</si>
  <si>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</si>
  <si>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</si>
  <si>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</si>
  <si>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</si>
  <si>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</si>
  <si>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</si>
  <si>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</si>
  <si>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</si>
  <si>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</si>
  <si>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</si>
  <si>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</si>
  <si>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</si>
  <si>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</si>
  <si>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</si>
  <si>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</si>
  <si>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</si>
  <si>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</si>
  <si>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</si>
  <si>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</si>
  <si>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</si>
  <si>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</si>
  <si>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</si>
  <si>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</si>
  <si>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</si>
  <si>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</si>
  <si>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</si>
  <si>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</si>
  <si>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</si>
  <si>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</si>
  <si>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</si>
  <si>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</si>
  <si>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</si>
  <si>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</si>
  <si>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</si>
  <si>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</si>
  <si>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</si>
  <si>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</si>
  <si>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</si>
  <si>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</si>
  <si>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</si>
  <si>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</si>
  <si>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</si>
  <si>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</si>
  <si>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</si>
  <si>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</si>
  <si>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</si>
  <si>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</si>
  <si>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</si>
  <si>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</si>
  <si>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</si>
  <si>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</si>
  <si>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</si>
  <si>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</si>
  <si>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</si>
  <si>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</si>
  <si>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</si>
  <si>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</si>
  <si>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</si>
  <si>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</si>
  <si>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</si>
  <si>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</si>
  <si>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</si>
  <si>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</si>
  <si>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</si>
  <si>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</si>
  <si>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</si>
  <si>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</si>
  <si>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</si>
  <si>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</si>
  <si>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</si>
  <si>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</si>
  <si>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</si>
  <si>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</si>
  <si>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</si>
  <si>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</si>
  <si>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</si>
  <si>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</si>
  <si>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</si>
  <si>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</si>
  <si>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</si>
  <si>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</si>
  <si>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</si>
  <si>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</si>
  <si>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</si>
  <si>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</si>
  <si>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</si>
  <si>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</si>
  <si>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</si>
  <si>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</si>
  <si>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</si>
  <si>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</si>
  <si>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</si>
  <si>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</si>
  <si>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</si>
  <si>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</si>
  <si>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</si>
  <si>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</si>
  <si>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</si>
  <si>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</si>
  <si>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</si>
  <si>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</si>
  <si>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</si>
  <si>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</si>
  <si>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</si>
  <si>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</si>
  <si>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</si>
  <si>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</si>
  <si>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</si>
  <si>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</si>
  <si>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</si>
  <si>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</si>
  <si>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</si>
  <si>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</si>
  <si>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</si>
  <si>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</si>
  <si>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</si>
  <si>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</si>
  <si>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</si>
  <si>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</si>
  <si>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</si>
  <si>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</si>
  <si>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</si>
  <si>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</si>
  <si>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</si>
  <si>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</si>
  <si>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</si>
  <si>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</si>
  <si>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</si>
  <si>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</si>
  <si>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</si>
  <si>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</si>
  <si>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</si>
  <si>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</si>
  <si>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</si>
  <si>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</si>
  <si>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</si>
  <si>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</si>
  <si>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</si>
  <si>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</si>
  <si>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</si>
  <si>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</si>
  <si>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</si>
  <si>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</si>
  <si>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</si>
  <si>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</si>
  <si>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</si>
  <si>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</si>
  <si>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</si>
  <si>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</si>
  <si>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</si>
  <si>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</si>
  <si>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</si>
  <si>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</si>
  <si>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</si>
  <si>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</si>
  <si>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</si>
  <si>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</si>
  <si>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</si>
  <si>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</si>
  <si>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</si>
  <si>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</si>
  <si>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</si>
  <si>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</si>
  <si>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</si>
  <si>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</si>
  <si>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</si>
  <si>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</si>
  <si>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</si>
  <si>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</si>
  <si>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</si>
  <si>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</si>
  <si>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</si>
  <si>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</si>
  <si>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</si>
  <si>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</si>
  <si>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</si>
  <si>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</si>
  <si>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</si>
  <si>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</si>
  <si>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</si>
  <si>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</si>
  <si>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</si>
  <si>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</si>
  <si>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</si>
  <si>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</si>
  <si>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</si>
  <si>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</si>
  <si>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</si>
  <si>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</si>
  <si>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</si>
  <si>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</si>
  <si>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</si>
  <si>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</si>
  <si>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</si>
  <si>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</si>
  <si>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</si>
  <si>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</si>
  <si>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</si>
  <si>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</si>
  <si>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</si>
  <si>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</si>
  <si>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</si>
  <si>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</si>
  <si>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</si>
  <si>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</si>
  <si>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</si>
  <si>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</si>
  <si>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</si>
  <si>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</si>
  <si>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</si>
  <si>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</si>
  <si>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</si>
  <si>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</si>
  <si>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</si>
  <si>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</si>
  <si>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</si>
  <si>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</si>
  <si>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</si>
  <si>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</si>
  <si>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</si>
  <si>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</si>
  <si>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</si>
  <si>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</si>
  <si>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</si>
  <si>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</si>
  <si>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</si>
  <si>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</si>
  <si>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</si>
  <si>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</si>
  <si>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</si>
  <si>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</si>
  <si>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</si>
  <si>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</si>
  <si>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</si>
  <si>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</si>
  <si>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</si>
  <si>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</si>
  <si>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</si>
  <si>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</si>
  <si>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</si>
  <si>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</si>
  <si>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</si>
  <si>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</si>
  <si>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</si>
  <si>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</si>
  <si>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</si>
  <si>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</si>
  <si>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Details / Ursache</t>
  </si>
  <si>
    <t>Meldung</t>
  </si>
  <si>
    <t>Zeitstempel</t>
  </si>
  <si>
    <t>Typ</t>
  </si>
  <si>
    <t>⚠</t>
  </si>
  <si>
    <t>Lead erhalten</t>
  </si>
  <si>
    <t/>
  </si>
  <si>
    <t>'/Users/steffen/Documents/GitHub/Excel Leads/Mails'</t>
  </si>
  <si>
    <t>Aehnlicher Name gefunden: 'Rosi Hennig-Pfeffer' vs. bestehend 'Henning-Pfeffer, Rosi' (Distanz: 1)</t>
  </si>
  <si>
    <t>Aktion</t>
  </si>
  <si>
    <t>Info</t>
  </si>
  <si>
    <t>ToDo</t>
  </si>
  <si>
    <t>Moeglicherweise gleiche Person. Leadtyp: Lead, Datum: 02.01.26 | Ref: Betreff: Fw: Alltagshilfe Lead | ID: 8e3b5bd0-0b63-459a-9fec-b05051119aac
Datei: Fw_ Alltagshilfe Lead | ID_ 8e3b5bd0-0b63-459a-9fec-b05051119aac 2.eml
Von: Info Vitalis &lt;Info@vitalis-seniorendienst.de&gt;</t>
  </si>
  <si>
    <t>Fehler</t>
  </si>
  <si>
    <t>Leere Nachricht uebersprungen [(keine Referenz)]</t>
  </si>
  <si>
    <t>Moegliche leere oder unvollstaendige E-Mail.</t>
  </si>
  <si>
    <t>Nachricht konnte nicht importiert werden. Pruefen ob Inhalt gueltig ist.</t>
  </si>
  <si>
    <t>Nachricht 4 fehlgeschlagen [Datei: WG_ Neue Anfrage_ Edeltraud Hörath.eml] (Ergebnis: 0)</t>
  </si>
  <si>
    <t>Nachricht 7 fehlgeschlagen [Datei: WG_ Neue Anfrage_ Sabine Bäuml.eml] (Ergebnis: 0)</t>
  </si>
  <si>
    <t>Laufzeitfehler bei Nachricht 3 [Betreff: WG: Alltagshilfe Lead | ID: 220bdb65-7229-493f-878f-ff1407b6f199]: Fehler #13: Typenkonflikt</t>
  </si>
  <si>
    <t>Nachricht konnte nicht verarbeitet werden.</t>
  </si>
  <si>
    <t>Laufzeitfehler bei Nachricht 5 [Betreff: WG: Neue Anfrage: Magda Langenbach]: Fehler #13: Typenkonflikt</t>
  </si>
  <si>
    <t>Nachricht 5 fehlgeschlagen [Betreff: WG: Neue Anfrage: Magda Langenbach] (Ergebnis: 0)</t>
  </si>
  <si>
    <t>Laufzeitfehler bei Nachricht 6 [Betreff: WG: Neue Anfrage: Monika Schmidt]: Fehler #13: Typenkonflikt</t>
  </si>
  <si>
    <t>Nachricht 6 fehlgeschlagen [Betreff: WG: Neue Anfrage: Monika Schmidt] (Ergebnis: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</si>
</sst>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theme="0" tint="-4.9989318521683403E-2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0" fontId="12" fillId="5" borderId="0" xfId="0" applyFont="1" applyFill="1"/>
    <xf numFmtId="16" fontId="12" fillId="5" borderId="0" xfId="0" applyNumberFormat="1" applyFont="1" applyFill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234B-87EB-C6328DE3105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234B-87EB-C6328DE31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1005184"/>
        <c:axId val="1421008768"/>
      </c:lineChart>
      <c:dateAx>
        <c:axId val="142100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1008768"/>
        <c:crosses val="autoZero"/>
        <c:auto val="1"/>
        <c:lblOffset val="100"/>
        <c:baseTimeUnit val="months"/>
      </c:dateAx>
      <c:valAx>
        <c:axId val="14210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0051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1-F14B-BFB6-462803AD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16928"/>
        <c:axId val="1428310656"/>
      </c:barChart>
      <c:dateAx>
        <c:axId val="14283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8310656"/>
        <c:crosses val="autoZero"/>
        <c:auto val="1"/>
        <c:lblOffset val="100"/>
        <c:baseTimeUnit val="months"/>
      </c:dateAx>
      <c:valAx>
        <c:axId val="1428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8316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1420CDCE-F30A-EC6E-99BD-79AE640BDA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6CAC9A1C-94AE-0B1E-6E79-FB7BFC1F0166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2090471C-23DA-D75C-8FDE-F875BA52D6D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E379BC4-F54F-5088-723D-BA4867A35F9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05EF9E73-0640-B476-9366-D2674BE357C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44DEC01E-5B37-48C8-FEE1-A4C52573DB1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29F97AA9-7A5A-1F26-4179-379A3CD45DA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C828167-2FC2-4CFF-CEF5-9FF9F64CE1FE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16,4%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6AAB5E53-BA6B-9060-3544-96615630343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D94831AB-0F33-179B-5537-2F638934B6F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7E75A736-45EC-F17A-A8AC-AD4F442C679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0778F679-BABD-DCD5-5A02-74C90F79E4A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60096495-0FD4-EB8F-F8DF-702CF2DCCA0F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45538EDA-1CD1-4F56-4B2B-2CD19FA7102A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76CB5EB-F8F8-5253-B08D-6F84180D377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BE9C0085-04CE-8624-0212-3DC2CA9CF22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D17A0976-256F-FB05-546B-3366E266682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05C58931-C88E-CA3D-D004-E82C4D7F67F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1427710-8769-93BE-886A-624F3B8BF3C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33953782-050F-CC62-CF9E-5CD3AD48C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2C93B21-FE71-4BB0-B0B0-F5FF4F52CFC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6731734-A043-EFAD-2649-D5A3C7EEDB0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D47312EB-E476-82AC-9349-5739774D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03E7E72F-7777-D2EE-502C-1CE9E7AC4C3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FC18287B-2813-2596-1A1F-6205EDF3830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D825644D-1135-8312-AE6B-EF66223B5AB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BFF1C818-3F76-04E0-9262-8C2DB2A4A1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1851CED8-200B-74BB-C755-8814AABA54D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CDF1A02B-54A7-B6BF-D4E8-9F2DAE0267A9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CF552C9-AE2B-5022-A08F-24EA4262D4F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318F80F2-0B00-B0EB-5231-5DD42B2745E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7A6F911B-E8AD-6061-7334-6405A1D5D326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9166B6B6-3F2E-A241-B066-EB8F1B9D8D8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6ACA4D30-1231-6368-B8CE-2E9385816F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283E1443-D353-F0FC-D3F0-4381B9FC8F4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7FCB2B19-143E-EDF6-15F2-7D169C7AE15B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DE3845BA-E41A-3780-732E-407BEFDDE8F1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02CCB4ED-B31A-9622-870C-8B67A311A8F6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27D13452-7232-5952-CBA7-942C74D2DAC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FCB33095-16E7-CD7C-167F-8B5C137CEA78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140CF6FD-FA7F-A9B6-4F44-43627A9084F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057D867A-7092-991C-DFB6-4322F765B09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60E7A484-4ECB-D609-4176-42ACD496F30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1DCC8539-E41A-9897-5E37-121326014B0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1EB15F36-C38B-E55B-3065-F20D3E7E40E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C3D3323-F16D-2833-B476-A3F848C5EA51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938B0AF5-3CA8-CFAF-4041-B352982CB19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640EC9EA-0858-88F3-0613-FD668F8BD61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C585970F-47D9-298A-218A-ABA78AD8F7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740C5615-5F7A-1E82-06C1-4A7007E1496E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D0D33AD1-18FA-3A5F-3E94-F4B73CDC526F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0A16D63A-DE56-D5C0-A694-4AF2F1FDE82C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E14874A-AD38-F71B-7BF4-A75A6E4CF17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C1056207-082B-9AFE-46C0-CB16BF83DED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5431FAEE-FA8E-3D63-9B47-9B20B6B2FA8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A96F6113-7FA6-2DA4-CE5D-87F00B3325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419F9B59-69B0-DD9C-48D0-A8632C239356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1154520F-D078-82B4-47FC-0397A6E7FB4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78E40E48-2343-C684-F4D9-BB4DA7E1666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79AD63A-FC4F-4052-2B71-1653BA49457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A8C22DC8-AD43-427C-A4B6-B348D9EDEA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02982B8F-4483-EBE4-71BE-8206EF702C2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E3ABD1D2-6B66-85A6-3CAC-04197F6BC9A3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533D0134-E5B0-E327-A5BE-C18049CB242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79A06769-36C7-152C-F811-D8577E34B80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BF385EE8-1029-9A6B-7E7C-B8B2C0339D3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4F1B9CBA-DD6F-2B03-19F0-780948A98EA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2852A332-B2B4-ECDA-63D6-57FE25D647F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C99A5632-8D92-A7E1-9335-65503914D109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A64F02C3-528A-BC66-3A7A-BE9D393365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A12350E5-304B-D856-5B1D-2D85377C7AC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5341446C-66DF-4949-0E40-F871528796A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11BA6F9B-89E4-05A4-BA78-73400D3B580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B44CA347-2E89-7923-EC3C-C027740345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DE525392-DE06-8E85-2BAC-70D3F6D4A9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8A8DDE39-ECBC-9DEB-6645-0AFB6FDF236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A47E5D00-3B91-573E-6258-6FE0EEC999E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88F3B056-2B13-7145-D2C3-E6BFE84273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F10A17DB-2D48-B7F7-55B7-6618B1AFD3C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5EDFA4D6-791C-ED37-61DC-5BC86C05DB2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FB3D3F7-10FC-1EC2-936D-D70D83957D09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8855E607-D8C9-97EB-66C1-83DBF92A12A6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3B254641-E0E1-3D2E-C9EC-85A92F4952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1A39A55E-EE77-D7C5-B8DD-EE0BBA1ECDE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FCBA8ABB-6D98-5CEF-087C-DAC8A46AD79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4331DAC9-FB03-2B30-9F7A-AF37C874B324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8D5274D7-B23A-D176-81F7-4DD959515D03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6046F071-7262-B300-881C-B250A1CAA930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537546B1-F76A-AADA-FC78-15727A4A8F2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921F8549-9B8D-8517-104B-37B74E5641B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974CE66F-D684-0AE5-A0E9-BDF74E009427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5F3E4F31-C91E-B7EC-4920-213618370BB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333C16D8-685B-2ADB-2D18-2CE0C73928A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00A4FC62-5CF6-FEF0-474E-202A22B559D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F743D676-379F-2D24-757E-1B7436485ED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0A753A53-DEB5-7665-E883-4CF7D46F7C62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82194D2E-DCA8-4D0D-2675-326616F6FB6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1A3350A7-CEE3-F0AC-C4C5-4B1C81E9BD2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6104DACA-592E-4241-B039-FBA57A7311EB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E0864F8-7734-1F63-E12E-D24B76FD20A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CB5390A0-FB46-25E3-1897-5F248CD55CD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3C789C72-D604-7422-AFF7-AA3152F831C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7AEFB46B-503B-073C-920D-3DBDBD0AD70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AE003DF-36C9-AEB9-2D1F-83C5CA9CF11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3F5FC7C-1E7B-C631-82FF-9E781341275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09919A46-2B79-BDEF-EAAD-08D7038FE759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BA0CD44D-E0F9-D69F-3D23-280A34FA841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30B8C43E-F090-F271-F064-9900CFFE2E10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782C4402-F5BE-8A1D-2E8D-E5BEC323A4E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FF420AA6-668E-F3D1-43FD-0AF63B165EA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4A6250D0-A552-57C6-6792-44F3357E606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C340B851-04B9-3740-7009-254D46ECE89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D5109269-6D10-44D7-2ACB-AB9A177273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B46F5AC3-9769-408B-232A-779BC440A466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EB01E5-A7D0-F981-B0C9-8CA03347F55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40F03DC7-4ECB-C5B8-F6E9-E36FD0D36E5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560F7D67-1677-56C8-9055-55B6FDCF718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6375730D-F61A-34DE-9AFE-52D50C3A48E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DCBBC16A-8B1F-1A25-B407-F1E0BF6437B0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C4FA84E3-4638-8175-CBFC-94D197B2525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DFA76542-19C9-B72A-BE58-99AE28FC2D4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BFEA5FB5-39D1-616A-74E5-B7E702F5CAC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70497C87-4E67-84FC-12C9-C686E81B87B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38A64657-A0FE-77F1-2472-A4601B603B17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99F51FC3-38E7-650C-41A4-959D0767E36B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0AD48DB6-EFE5-D51F-1501-A8BE9361C33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65F8F38A-0B38-49E3-E1FA-6F8AE0DA742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49F152A2-F3FD-E4ED-830B-005FEC711C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11" totalsRowShown="0" headerRowDxfId="9" dataDxfId="2" headerRowCellStyle="Standard 5" dataCellStyle="Standard 5">
  <autoFilter ref="A1:F11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21" activePane="bottomRight" state="frozen"/>
      <selection pane="topRight" activeCell="I1" sqref="I1"/>
      <selection pane="bottomLeft" activeCell="A7" sqref="A7"/>
      <selection pane="bottomRight" activeCell="B153" sqref="B153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46079.505555555559</v>
      </c>
    </row>
    <row r="4" spans="1:19" ht="16" customHeight="1" x14ac:dyDescent="0.2"/>
    <row r="5" spans="1:19" ht="16" customHeight="1" x14ac:dyDescent="0.2">
      <c r="B5">
        <f ca="1">($B7&lt;&gt;"Geschlossen")*($K7&lt;HEUTE())</f>
        <v>1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7177</v>
      </c>
      <c r="C7" t="s">
        <v>20</v>
      </c>
      <c r="D7" t="s">
        <v>21</v>
      </c>
      <c r="E7" t="s">
        <v>22</v>
      </c>
      <c r="F7" s="2"/>
      <c r="G7" t="s">
        <v>7178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7178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7178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7178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7178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7178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7178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7178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7178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7178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7178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7178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7178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S1:Z4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19:26" x14ac:dyDescent="0.25">
      <c r="S1" s="23"/>
      <c r="T1" s="23" t="s">
        <v>7166</v>
      </c>
      <c r="U1" s="23" t="s">
        <v>7167</v>
      </c>
      <c r="V1" s="23" t="s">
        <v>7168</v>
      </c>
      <c r="W1" s="23" t="s">
        <v>7169</v>
      </c>
      <c r="X1" s="23" t="s">
        <v>7166</v>
      </c>
      <c r="Y1" s="23" t="s">
        <v>7169</v>
      </c>
      <c r="Z1" s="23"/>
    </row>
    <row r="2" spans="19:26" x14ac:dyDescent="0.25">
      <c r="S2" s="23"/>
      <c r="T2" s="24">
        <v>46048</v>
      </c>
      <c r="U2" s="23">
        <v>99</v>
      </c>
      <c r="V2" s="23">
        <v>20</v>
      </c>
      <c r="W2" s="23">
        <v>67</v>
      </c>
      <c r="X2" s="24">
        <v>46048</v>
      </c>
      <c r="Y2" s="23">
        <v>67</v>
      </c>
      <c r="Z2" s="23"/>
    </row>
    <row r="3" spans="19:26" x14ac:dyDescent="0.25">
      <c r="S3" s="23"/>
      <c r="T3" s="24">
        <v>46079</v>
      </c>
      <c r="U3" s="23">
        <v>35</v>
      </c>
      <c r="V3" s="23">
        <v>2</v>
      </c>
      <c r="W3" s="23">
        <v>14</v>
      </c>
      <c r="X3" s="24">
        <v>46079</v>
      </c>
      <c r="Y3" s="23">
        <v>14</v>
      </c>
      <c r="Z3" s="23"/>
    </row>
    <row r="4" spans="19:26" x14ac:dyDescent="0.25">
      <c r="S4" s="23"/>
      <c r="T4" s="23"/>
      <c r="U4" s="23"/>
      <c r="V4" s="23"/>
      <c r="W4" s="23"/>
      <c r="X4" s="23"/>
      <c r="Y4" s="23"/>
      <c r="Z4" s="2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7179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11"/>
  <sheetViews>
    <sheetView showGridLines="0" showRowColHeaders="0" zoomScale="130" zoomScaleNormal="130" workbookViewId="0">
      <pane ySplit="1" topLeftCell="A2" activePane="bottomLeft" state="frozen"/>
      <selection pane="bottomLeft" activeCell="D5" sqref="D5:D9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7176</v>
      </c>
      <c r="B1" s="21" t="s">
        <v>7175</v>
      </c>
      <c r="C1" s="21" t="s">
        <v>7174</v>
      </c>
      <c r="D1" s="21" t="s">
        <v>7173</v>
      </c>
      <c r="E1" s="21" t="s">
        <v>7172</v>
      </c>
      <c r="F1" s="21" t="s">
        <v>7181</v>
      </c>
    </row>
    <row r="2" spans="1:6" ht="90" x14ac:dyDescent="0.2">
      <c r="A2" s="15" t="s">
        <v>7171</v>
      </c>
      <c r="B2" s="15" t="s">
        <v>7170</v>
      </c>
      <c r="C2" s="16">
        <v>46079.505555555559</v>
      </c>
      <c r="D2" s="22" t="s">
        <v>7180</v>
      </c>
      <c r="E2" s="22" t="s">
        <v>7184</v>
      </c>
      <c r="F2" s="15" t="s">
        <v>7183</v>
      </c>
    </row>
    <row r="3" spans="1:6" ht="30" x14ac:dyDescent="0.2">
      <c r="A3" s="25" t="s">
        <v>7176</v>
      </c>
      <c r="B3" s="25" t="s">
        <v>7185</v>
      </c>
      <c r="C3" s="26">
        <v>46079.505555555559</v>
      </c>
      <c r="D3" s="27" t="s">
        <v>7191</v>
      </c>
      <c r="E3" s="27" t="s">
        <v>7192</v>
      </c>
      <c r="F3" s="25" t="s">
        <v>7183</v>
      </c>
    </row>
    <row r="4" spans="1:6" ht="15" x14ac:dyDescent="0.2">
      <c r="A4" s="15" t="s">
        <v>7171</v>
      </c>
      <c r="B4" s="15" t="s">
        <v>7170</v>
      </c>
      <c r="C4" s="16">
        <v>46079.505555555559</v>
      </c>
      <c r="D4" s="22" t="s">
        <v>7186</v>
      </c>
      <c r="E4" s="22" t="s">
        <v>7187</v>
      </c>
      <c r="F4" s="15" t="s">
        <v>7182</v>
      </c>
    </row>
    <row r="5" spans="1:6" ht="30" x14ac:dyDescent="0.2">
      <c r="A5" s="25" t="s">
        <v>7176</v>
      </c>
      <c r="B5" s="25" t="s">
        <v>7185</v>
      </c>
      <c r="C5" s="26">
        <v>46079.505555555559</v>
      </c>
      <c r="D5" s="27" t="s">
        <v>7189</v>
      </c>
      <c r="E5" s="27" t="s">
        <v>7188</v>
      </c>
      <c r="F5" s="25" t="s">
        <v>7183</v>
      </c>
    </row>
    <row r="6" spans="1:6" ht="30" x14ac:dyDescent="0.2">
      <c r="A6" s="25" t="s">
        <v>7176</v>
      </c>
      <c r="B6" s="25" t="s">
        <v>7185</v>
      </c>
      <c r="C6" s="26">
        <v>46079.505555555559</v>
      </c>
      <c r="D6" s="27" t="s">
        <v>7193</v>
      </c>
      <c r="E6" s="27" t="s">
        <v>7192</v>
      </c>
      <c r="F6" s="25" t="s">
        <v>7183</v>
      </c>
    </row>
    <row r="7" spans="1:6" ht="30" x14ac:dyDescent="0.2">
      <c r="A7" s="25" t="s">
        <v>7176</v>
      </c>
      <c r="B7" s="25" t="s">
        <v>7185</v>
      </c>
      <c r="C7" s="26">
        <v>46079.505555555559</v>
      </c>
      <c r="D7" s="27" t="s">
        <v>7194</v>
      </c>
      <c r="E7" s="27" t="s">
        <v>7188</v>
      </c>
      <c r="F7" s="25" t="s">
        <v>7183</v>
      </c>
    </row>
    <row r="8" spans="1:6" ht="30" x14ac:dyDescent="0.2">
      <c r="A8" s="25" t="s">
        <v>7176</v>
      </c>
      <c r="B8" s="25" t="s">
        <v>7185</v>
      </c>
      <c r="C8" s="26">
        <v>46079.505555555559</v>
      </c>
      <c r="D8" s="27" t="s">
        <v>7195</v>
      </c>
      <c r="E8" s="27" t="s">
        <v>7192</v>
      </c>
      <c r="F8" s="25" t="s">
        <v>7183</v>
      </c>
    </row>
    <row r="9" spans="1:6" ht="30" x14ac:dyDescent="0.2">
      <c r="A9" s="25" t="s">
        <v>7176</v>
      </c>
      <c r="B9" s="25" t="s">
        <v>7185</v>
      </c>
      <c r="C9" s="26">
        <v>46079.505555555559</v>
      </c>
      <c r="D9" s="27" t="s">
        <v>7196</v>
      </c>
      <c r="E9" s="27" t="s">
        <v>7188</v>
      </c>
      <c r="F9" s="25" t="s">
        <v>7183</v>
      </c>
    </row>
    <row r="10" spans="1:6" ht="15" x14ac:dyDescent="0.2">
      <c r="A10" s="15" t="s">
        <v>7171</v>
      </c>
      <c r="B10" s="15" t="s">
        <v>7170</v>
      </c>
      <c r="C10" s="16">
        <v>46079.505555555559</v>
      </c>
      <c r="D10" s="22" t="s">
        <v>7186</v>
      </c>
      <c r="E10" s="22" t="s">
        <v>7187</v>
      </c>
      <c r="F10" s="15" t="s">
        <v>7182</v>
      </c>
    </row>
    <row r="11" spans="1:6" ht="30" x14ac:dyDescent="0.2">
      <c r="A11" s="25" t="s">
        <v>7176</v>
      </c>
      <c r="B11" s="25" t="s">
        <v>7185</v>
      </c>
      <c r="C11" s="26">
        <v>46079.505555555559</v>
      </c>
      <c r="D11" s="27" t="s">
        <v>7190</v>
      </c>
      <c r="E11" s="27" t="s">
        <v>7188</v>
      </c>
      <c r="F11" s="25" t="s">
        <v>7183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2026-02-26T11:19:20Z</dcterms:modified>
</cp:coreProperties>
</file>