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2ACDB1D1-C0B3-0748-9FD6-CB23D39A0B48}" xr6:coauthVersionLast="47" xr6:coauthVersionMax="47" xr10:uidLastSave="{00000000-0000-0000-0000-000000000000}"/>
  <bookViews>
    <workbookView xWindow="38320" yWindow="1180" windowWidth="38240" windowHeight="204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<sst xmlns="http://schemas.openxmlformats.org/spreadsheetml/2006/main" count="10932" uniqueCount="7243">
  <si>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</si>
  <si>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</si>
  <si>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</si>
  <si>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</si>
  <si>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</si>
  <si>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</si>
  <si>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</si>
  <si>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</si>
  <si>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</si>
  <si>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</si>
  <si>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</si>
  <si>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</si>
  <si>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</si>
  <si>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</si>
  <si>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</si>
  <si>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</si>
  <si>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</si>
  <si>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</si>
  <si>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</si>
  <si>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</si>
  <si>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</si>
  <si>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</si>
  <si>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</si>
  <si>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</si>
  <si>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</si>
  <si>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</si>
  <si>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</si>
  <si>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</si>
  <si>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</si>
  <si>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</si>
  <si>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</si>
  <si>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</si>
  <si>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</si>
  <si>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</si>
  <si>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</si>
  <si>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</si>
  <si>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</si>
  <si>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</si>
  <si>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</si>
  <si>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</si>
  <si>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</si>
  <si>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</si>
  <si>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</si>
  <si>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</si>
  <si>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</si>
  <si>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</si>
  <si>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</si>
  <si>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</si>
  <si>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</si>
  <si>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</si>
  <si>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</si>
  <si>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</si>
  <si>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</si>
  <si>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</si>
  <si>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</si>
  <si>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</si>
  <si>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</si>
  <si>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</si>
  <si>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</si>
  <si>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</si>
  <si>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</si>
  <si>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</si>
  <si>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</si>
  <si>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</si>
  <si>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</si>
  <si>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</si>
  <si>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</si>
  <si>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</si>
  <si>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</si>
  <si>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</si>
  <si>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</si>
  <si>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</si>
  <si>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</si>
  <si>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</si>
  <si>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</si>
  <si>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</si>
  <si>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</si>
  <si>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</si>
  <si>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</si>
  <si>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</si>
  <si>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</si>
  <si>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</si>
  <si>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</si>
  <si>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</si>
  <si>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</si>
  <si>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</si>
  <si>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</si>
  <si>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</si>
  <si>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</si>
  <si>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</si>
  <si>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</si>
  <si>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</si>
  <si>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</si>
  <si>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</si>
  <si>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</si>
  <si>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</si>
  <si>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</si>
  <si>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</si>
  <si>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</si>
  <si>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</si>
  <si>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</si>
  <si>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</si>
  <si>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</si>
  <si>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</si>
  <si>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</si>
  <si>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</si>
  <si>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</si>
  <si>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</si>
  <si>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</si>
  <si>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</si>
  <si>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</si>
  <si>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</si>
  <si>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</si>
  <si>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</si>
  <si>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</si>
  <si>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</si>
  <si>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</si>
  <si>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</si>
  <si>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</si>
  <si>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</si>
  <si>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</si>
  <si>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</si>
  <si>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</si>
  <si>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</si>
  <si>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</si>
  <si>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</si>
  <si>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</si>
  <si>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</si>
  <si>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</si>
  <si>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</si>
  <si>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</si>
  <si>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</si>
  <si>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</si>
  <si>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</si>
  <si>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</si>
  <si>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</si>
  <si>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</si>
  <si>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</si>
  <si>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</si>
  <si>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</si>
  <si>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</si>
  <si>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</si>
  <si>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</si>
  <si>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</si>
  <si>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</si>
  <si>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</si>
  <si>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</si>
  <si>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</si>
  <si>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</si>
  <si>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</si>
  <si>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</si>
  <si>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</si>
  <si>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</si>
  <si>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</si>
  <si>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</si>
  <si>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</si>
  <si>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</si>
  <si>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</si>
  <si>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</si>
  <si>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</si>
  <si>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</si>
  <si>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</si>
  <si>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</si>
  <si>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</si>
  <si>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</si>
  <si>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</si>
  <si>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</si>
  <si>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</si>
  <si>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</si>
  <si>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</si>
  <si>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</si>
  <si>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</si>
  <si>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</si>
  <si>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</si>
  <si>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</si>
  <si>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</si>
  <si>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</si>
  <si>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</si>
  <si>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</si>
  <si>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</si>
  <si>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</si>
  <si>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</si>
  <si>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</si>
  <si>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</si>
  <si>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</si>
  <si>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</si>
  <si>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</si>
  <si>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</si>
  <si>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</si>
  <si>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</si>
  <si>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</si>
  <si>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</si>
  <si>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</si>
  <si>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</si>
  <si>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</si>
  <si>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</si>
  <si>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</si>
  <si>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</si>
  <si>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</si>
  <si>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</si>
  <si>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</si>
  <si>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</si>
  <si>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</si>
  <si>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</si>
  <si>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</si>
  <si>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</si>
  <si>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</si>
  <si>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</si>
  <si>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</si>
  <si>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</si>
  <si>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</si>
  <si>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</si>
  <si>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</si>
  <si>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</si>
  <si>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</si>
  <si>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</si>
  <si>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</si>
  <si>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</si>
  <si>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</si>
  <si>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</si>
  <si>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</si>
  <si>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</si>
  <si>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</si>
  <si>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</si>
  <si>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</si>
  <si>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</si>
  <si>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</si>
  <si>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</si>
  <si>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</si>
  <si>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</si>
  <si>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</si>
  <si>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</si>
  <si>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</si>
  <si>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</si>
  <si>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</si>
  <si>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</si>
  <si>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</si>
  <si>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</si>
  <si>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</si>
  <si>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</si>
  <si>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</si>
  <si>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</si>
  <si>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</si>
  <si>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</si>
  <si>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</si>
  <si>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</si>
  <si>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</si>
  <si>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</si>
  <si>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</si>
  <si>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</si>
  <si>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</si>
  <si>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</si>
  <si>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</si>
  <si>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</si>
  <si>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</si>
  <si>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</si>
  <si>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</si>
  <si>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</si>
  <si>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</si>
  <si>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</si>
  <si>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</si>
  <si>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</si>
  <si>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</si>
  <si>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</si>
  <si>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</si>
  <si>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</si>
  <si>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</si>
  <si>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</si>
  <si>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</si>
  <si>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</si>
  <si>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</si>
  <si>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</si>
  <si>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</si>
  <si>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</si>
  <si>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</si>
  <si>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</si>
  <si>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</si>
  <si>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</si>
  <si>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</si>
  <si>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</si>
  <si>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</si>
  <si>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</si>
  <si>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</si>
  <si>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</si>
  <si>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</si>
  <si>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</si>
  <si>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</si>
  <si>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</si>
  <si>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</si>
  <si>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</si>
  <si>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</si>
  <si>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</si>
  <si>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</si>
  <si>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</si>
  <si>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</si>
  <si>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</si>
  <si>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</si>
  <si>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</si>
  <si>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</si>
  <si>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</si>
  <si>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</si>
  <si>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</si>
  <si>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</si>
  <si>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</si>
  <si>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</si>
  <si>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</si>
  <si>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</si>
  <si>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</si>
  <si>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</si>
  <si>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</si>
  <si>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</si>
  <si>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</si>
  <si>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</si>
  <si>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</si>
  <si>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</si>
  <si>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</si>
  <si>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</si>
  <si>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</si>
  <si>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</si>
  <si>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</si>
  <si>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</si>
  <si>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</si>
  <si>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</si>
  <si>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</si>
  <si>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</si>
  <si>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</si>
  <si>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</si>
  <si>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</si>
  <si>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</si>
  <si>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</si>
  <si>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</si>
  <si>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</si>
  <si>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</si>
  <si>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</si>
  <si>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</si>
  <si>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</si>
  <si>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</si>
  <si>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</si>
  <si>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</si>
  <si>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</si>
  <si>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</si>
  <si>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</si>
  <si>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</si>
  <si>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</si>
  <si>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</si>
  <si>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</si>
  <si>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</si>
  <si>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</si>
  <si>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</si>
  <si>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</si>
  <si>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</si>
  <si>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</si>
  <si>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</si>
  <si>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</si>
  <si>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</si>
  <si>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</si>
  <si>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</si>
  <si>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</si>
  <si>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</si>
  <si>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</si>
  <si>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</si>
  <si>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</si>
  <si>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</si>
  <si>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</si>
  <si>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</si>
  <si>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</si>
  <si>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</si>
  <si>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</si>
  <si>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</si>
  <si>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</si>
  <si>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</si>
  <si>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</si>
  <si>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</si>
  <si>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</si>
  <si>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</si>
  <si>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</si>
  <si>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</si>
  <si>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</si>
  <si>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</si>
  <si>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</si>
  <si>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</si>
  <si>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</si>
  <si>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</si>
  <si>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</si>
  <si>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</si>
  <si>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</si>
  <si>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</si>
  <si>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</si>
  <si>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</si>
  <si>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</si>
  <si>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</si>
  <si>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</si>
  <si>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</si>
  <si>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</si>
  <si>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</si>
  <si>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</si>
  <si>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</si>
  <si>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</si>
  <si>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</si>
  <si>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</si>
  <si>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</si>
  <si>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</si>
  <si>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</si>
  <si>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</si>
  <si>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</si>
  <si>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</si>
  <si>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</si>
  <si>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</si>
  <si>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</si>
  <si>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</si>
  <si>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</si>
  <si>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</si>
  <si>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</si>
  <si>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</si>
  <si>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</si>
  <si>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</si>
  <si>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</si>
  <si>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</si>
  <si>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</si>
  <si>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</si>
  <si>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</si>
  <si>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</si>
  <si>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</si>
  <si>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</si>
  <si>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</si>
  <si>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</si>
  <si>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</si>
  <si>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</si>
  <si>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</si>
  <si>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</si>
  <si>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</si>
  <si>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</si>
  <si>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</si>
  <si>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</si>
  <si>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</si>
  <si>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</si>
  <si>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</si>
  <si>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</si>
  <si>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</si>
  <si>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</si>
  <si>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</si>
  <si>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</si>
  <si>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</si>
  <si>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</si>
  <si>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</si>
  <si>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</si>
  <si>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</si>
  <si>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</si>
  <si>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</si>
  <si>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</si>
  <si>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</si>
  <si>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</si>
  <si>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</si>
  <si>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</si>
  <si>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</si>
  <si>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</si>
  <si>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</si>
  <si>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</si>
  <si>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</si>
  <si>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</si>
  <si>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</si>
  <si>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</si>
  <si>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</si>
  <si>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</si>
  <si>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</si>
  <si>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</si>
  <si>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</si>
  <si>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</si>
  <si>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</si>
  <si>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</si>
  <si>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</si>
  <si>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</si>
  <si>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</si>
  <si>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</si>
  <si>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</si>
  <si>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</si>
  <si>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</si>
  <si>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</si>
  <si>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</si>
  <si>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</si>
  <si>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</si>
  <si>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</si>
  <si>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</si>
  <si>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</si>
  <si>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</si>
  <si>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</si>
  <si>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</si>
  <si>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</si>
  <si>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</si>
  <si>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</si>
  <si>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</si>
  <si>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</si>
  <si>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</si>
  <si>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</si>
  <si>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</si>
  <si>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</si>
  <si>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</si>
  <si>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</si>
  <si>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</si>
  <si>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</si>
  <si>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</si>
  <si>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</si>
  <si>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</si>
  <si>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</si>
  <si>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</si>
  <si>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</si>
  <si>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</si>
  <si>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</si>
  <si>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</si>
  <si>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</si>
  <si>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</si>
  <si>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</si>
  <si>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</si>
  <si>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</si>
  <si>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</si>
  <si>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</si>
  <si>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</si>
  <si>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</si>
  <si>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</si>
  <si>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</si>
  <si>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</si>
  <si>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</si>
  <si>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</si>
  <si>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</si>
  <si>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</si>
  <si>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</si>
  <si>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</si>
  <si>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</si>
  <si>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</si>
  <si>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</si>
  <si>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</si>
  <si>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</si>
  <si>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</si>
  <si>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</si>
  <si>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</si>
  <si>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</si>
  <si>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</si>
  <si>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</si>
  <si>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</si>
  <si>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</si>
  <si>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</si>
  <si>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</si>
  <si>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</si>
  <si>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</si>
  <si>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</si>
  <si>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</si>
  <si>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</si>
  <si>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</si>
  <si>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</si>
  <si>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</si>
  <si>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</si>
  <si>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</si>
  <si>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</si>
  <si>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</si>
  <si>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</si>
  <si>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</si>
  <si>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</si>
  <si>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</si>
  <si>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</si>
  <si>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</si>
  <si>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</si>
  <si>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</si>
  <si>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</si>
  <si>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</si>
  <si>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</si>
  <si>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</si>
  <si>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</si>
  <si>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</si>
  <si>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</si>
  <si>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</si>
  <si>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</si>
  <si>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</si>
  <si>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</si>
  <si>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</si>
  <si>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</si>
  <si>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</si>
  <si>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</si>
  <si>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</si>
  <si>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</si>
  <si>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</si>
  <si>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</si>
  <si>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</si>
  <si>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</si>
  <si>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</si>
  <si>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</si>
  <si>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</si>
  <si>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</si>
  <si>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</si>
  <si>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</si>
  <si>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</si>
  <si>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</si>
  <si>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</si>
  <si>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</si>
  <si>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</si>
  <si>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</si>
  <si>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</si>
  <si>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</si>
  <si>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</si>
  <si>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</si>
  <si>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</si>
  <si>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</si>
  <si>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</si>
  <si>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</si>
  <si>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</si>
  <si>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</si>
  <si>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</si>
  <si>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</si>
  <si>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</si>
  <si>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</si>
  <si>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</si>
  <si>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</si>
  <si>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</si>
  <si>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</si>
  <si>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</si>
  <si>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</si>
  <si>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</si>
  <si>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</si>
  <si>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</si>
  <si>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</si>
  <si>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</si>
  <si>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</si>
  <si>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</si>
  <si>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</si>
  <si>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</si>
  <si>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</si>
  <si>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</si>
  <si>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</si>
  <si>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</si>
  <si>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</si>
  <si>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</si>
  <si>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</si>
  <si>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</si>
  <si>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</si>
  <si>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</si>
  <si>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</si>
  <si>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</si>
  <si>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</si>
  <si>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</si>
  <si>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</si>
  <si>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</si>
  <si>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</si>
  <si>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</si>
  <si>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</si>
  <si>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</si>
  <si>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</si>
  <si>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</si>
  <si>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</si>
  <si>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</si>
  <si>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</si>
  <si>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</si>
  <si>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</si>
  <si>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</si>
  <si>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</si>
  <si>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</si>
  <si>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</si>
  <si>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</si>
  <si>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</si>
  <si>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</si>
  <si>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</si>
  <si>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</si>
  <si>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</si>
  <si>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</si>
  <si>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</si>
  <si>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</si>
  <si>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</si>
  <si>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</si>
  <si>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</si>
  <si>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</si>
  <si>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</si>
  <si>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</si>
  <si>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</si>
  <si>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</si>
  <si>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</si>
  <si>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</si>
  <si>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</si>
  <si>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</si>
  <si>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</si>
  <si>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</si>
  <si>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</si>
  <si>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</si>
  <si>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</si>
  <si>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</si>
  <si>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</si>
  <si>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</si>
  <si>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</si>
  <si>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</si>
  <si>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</si>
  <si>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</si>
  <si>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</si>
  <si>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</si>
  <si>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</si>
  <si>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</si>
  <si>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</si>
  <si>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</si>
  <si>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</si>
  <si>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</si>
  <si>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</si>
  <si>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</si>
  <si>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</si>
  <si>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</si>
  <si>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</si>
  <si>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</si>
  <si>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</si>
  <si>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</si>
  <si>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</si>
  <si>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</si>
  <si>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</si>
  <si>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</si>
  <si>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</si>
  <si>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</si>
  <si>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</si>
  <si>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</si>
  <si>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</si>
  <si>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</si>
  <si>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</si>
  <si>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</si>
  <si>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</si>
  <si>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</si>
  <si>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</si>
  <si>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</si>
  <si>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</si>
  <si>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</si>
  <si>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</si>
  <si>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</si>
  <si>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</si>
  <si>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</si>
  <si>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</si>
  <si>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</si>
  <si>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</si>
  <si>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</si>
  <si>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</si>
  <si>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</si>
  <si>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</si>
  <si>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</si>
  <si>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</si>
  <si>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</si>
  <si>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</si>
  <si>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</si>
  <si>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</si>
  <si>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</si>
  <si>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</si>
  <si>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</si>
  <si>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</si>
  <si>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</si>
  <si>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</si>
  <si>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</si>
  <si>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</si>
  <si>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</si>
  <si>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</si>
  <si>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</si>
  <si>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</si>
  <si>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</si>
  <si>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</si>
  <si>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</si>
  <si>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</si>
  <si>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</si>
  <si>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</si>
  <si>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</si>
  <si>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</si>
  <si>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</si>
  <si>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</si>
  <si>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</si>
  <si>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</si>
  <si>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</si>
  <si>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</si>
  <si>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</si>
  <si>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</si>
  <si>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</si>
  <si>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</si>
  <si>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</si>
  <si>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</si>
  <si>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</si>
  <si>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</si>
  <si>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</si>
  <si>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</si>
  <si>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</si>
  <si>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</si>
  <si>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</si>
  <si>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</si>
  <si>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</si>
  <si>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</si>
  <si>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</si>
  <si>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</si>
  <si>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</si>
  <si>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</si>
  <si>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</si>
  <si>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</si>
  <si>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</si>
  <si>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</si>
  <si>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</si>
  <si>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</si>
  <si>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</si>
  <si>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</si>
  <si>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</si>
  <si>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</si>
  <si>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</si>
  <si>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</si>
  <si>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</si>
  <si>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</si>
  <si>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</si>
  <si>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</si>
  <si>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</si>
  <si>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</si>
  <si>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</si>
  <si>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</si>
  <si>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</si>
  <si>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</si>
  <si>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</si>
  <si>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</si>
  <si>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</si>
  <si>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</si>
  <si>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</si>
  <si>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</si>
  <si>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</si>
  <si>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</si>
  <si>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</si>
  <si>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</si>
  <si>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</si>
  <si>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</si>
  <si>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</si>
  <si>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</si>
  <si>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</si>
  <si>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</si>
  <si>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</si>
  <si>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</si>
  <si>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</si>
  <si>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</si>
  <si>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</si>
  <si>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</si>
  <si>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</si>
  <si>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</si>
  <si>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</si>
  <si>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</si>
  <si>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</si>
  <si>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</si>
  <si>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</si>
  <si>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</si>
  <si>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</si>
  <si>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</si>
  <si>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</si>
  <si>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</si>
  <si>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</si>
  <si>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</si>
  <si>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</si>
  <si>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</si>
  <si>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</si>
  <si>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</si>
  <si>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</si>
  <si>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</si>
  <si>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</si>
  <si>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</si>
  <si>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</si>
  <si>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</si>
  <si>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</si>
  <si>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</si>
  <si>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</si>
  <si>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</si>
  <si>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</si>
  <si>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</si>
  <si>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</si>
  <si>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</si>
  <si>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</si>
  <si>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</si>
  <si>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</si>
  <si>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</si>
  <si>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</si>
  <si>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</si>
  <si>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</si>
  <si>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</si>
  <si>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</si>
  <si>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</si>
  <si>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</si>
  <si>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</si>
  <si>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</si>
  <si>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</si>
  <si>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</si>
  <si>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</si>
  <si>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</si>
  <si>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</si>
  <si>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</si>
  <si>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</si>
  <si>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</si>
  <si>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</si>
  <si>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</si>
  <si>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</si>
  <si>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</si>
  <si>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</si>
  <si>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</si>
  <si>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</si>
  <si>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</si>
  <si>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</si>
  <si>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</si>
  <si>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</si>
  <si>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</si>
  <si>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</si>
  <si>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</si>
  <si>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</si>
  <si>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</si>
  <si>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</si>
  <si>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</si>
  <si>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</si>
  <si>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</si>
  <si>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</si>
  <si>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</si>
  <si>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</si>
  <si>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</si>
  <si>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</si>
  <si>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</si>
  <si>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</si>
  <si>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</si>
  <si>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</si>
  <si>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</si>
  <si>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</si>
  <si>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</si>
  <si>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</si>
  <si>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</si>
  <si>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</si>
  <si>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</si>
  <si>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</si>
  <si>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</si>
  <si>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</si>
  <si>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</si>
  <si>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</si>
  <si>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</si>
  <si>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</si>
  <si>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</si>
  <si>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</si>
  <si>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</si>
  <si>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</si>
  <si>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</si>
  <si>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</si>
  <si>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</si>
  <si>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</si>
  <si>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</si>
  <si>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</si>
  <si>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</si>
  <si>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</si>
  <si>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</si>
  <si>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</si>
  <si>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</si>
  <si>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</si>
  <si>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</si>
  <si>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</si>
  <si>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</si>
  <si>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</si>
  <si>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</si>
  <si>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</si>
  <si>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</si>
  <si>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</si>
  <si>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</si>
  <si>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</si>
  <si>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</si>
  <si>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</si>
  <si>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</si>
  <si>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</si>
  <si>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</si>
  <si>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</si>
  <si>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</si>
  <si>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</si>
  <si>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</si>
  <si>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</si>
  <si>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</si>
  <si>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</si>
  <si>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</si>
  <si>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</si>
  <si>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</si>
  <si>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</si>
  <si>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</si>
  <si>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</si>
  <si>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</si>
  <si>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</si>
  <si>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</si>
  <si>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</si>
  <si>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</si>
  <si>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</si>
  <si>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</si>
  <si>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</si>
  <si>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</si>
  <si>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</si>
  <si>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</si>
  <si>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</si>
  <si>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</si>
  <si>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</si>
  <si>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</si>
  <si>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</si>
  <si>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</si>
  <si>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</si>
  <si>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</si>
  <si>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</si>
  <si>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</si>
  <si>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</si>
  <si>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</si>
  <si>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</si>
  <si>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</si>
  <si>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</si>
  <si>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</si>
  <si>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</si>
  <si>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</si>
  <si>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</si>
  <si>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</si>
  <si>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</si>
  <si>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</si>
  <si>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</si>
  <si>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</si>
  <si>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</si>
  <si>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</si>
  <si>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</si>
  <si>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</si>
  <si>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</si>
  <si>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</si>
  <si>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</si>
  <si>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</si>
  <si>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</si>
  <si>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</si>
  <si>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</si>
  <si>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</si>
  <si>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</si>
  <si>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</si>
  <si>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</si>
  <si>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</si>
  <si>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</si>
  <si>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</si>
  <si>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</si>
  <si>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</si>
  <si>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</si>
  <si>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</si>
  <si>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</si>
  <si>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</si>
  <si>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</si>
  <si>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</si>
  <si>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</si>
  <si>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</si>
  <si>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</si>
  <si>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</si>
  <si>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</si>
  <si>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</si>
  <si>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</si>
  <si>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</si>
  <si>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</si>
  <si>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</si>
  <si>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</si>
  <si>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</si>
  <si>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</si>
  <si>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</si>
  <si>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</si>
  <si>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</si>
  <si>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</si>
  <si>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</si>
  <si>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</si>
  <si>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</si>
  <si>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</si>
  <si>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</si>
  <si>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</si>
  <si>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</si>
  <si>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</si>
  <si>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</si>
  <si>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</si>
  <si>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</si>
  <si>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</si>
  <si>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</si>
  <si>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</si>
  <si>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</si>
  <si>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</si>
  <si>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</si>
  <si>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</si>
  <si>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</si>
  <si>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</si>
  <si>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</si>
  <si>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</si>
  <si>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</si>
  <si>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</si>
  <si>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</si>
  <si>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</si>
  <si>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</si>
  <si>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</si>
  <si>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</si>
  <si>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</si>
  <si>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</si>
  <si>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</si>
  <si>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</si>
  <si>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</si>
  <si>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</si>
  <si>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</si>
  <si>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</si>
  <si>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</si>
  <si>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</si>
  <si>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</si>
  <si>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</si>
  <si>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</si>
  <si>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</si>
  <si>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</si>
  <si>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</si>
  <si>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</si>
  <si>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</si>
  <si>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</si>
  <si>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</si>
  <si>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</si>
  <si>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</si>
  <si>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</si>
  <si>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</si>
  <si>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</si>
  <si>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</si>
  <si>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</si>
  <si>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</si>
  <si>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</si>
  <si>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</si>
  <si>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</si>
  <si>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</si>
  <si>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</si>
  <si>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</si>
  <si>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</si>
  <si>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</si>
  <si>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</si>
  <si>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</si>
  <si>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</si>
  <si>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</si>
  <si>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</si>
  <si>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</si>
  <si>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</si>
  <si>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</si>
  <si>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</si>
  <si>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</si>
  <si>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</si>
  <si>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</si>
  <si>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</si>
  <si>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</si>
  <si>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</si>
  <si>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</si>
  <si>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</si>
  <si>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</si>
  <si>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</si>
  <si>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</si>
  <si>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</si>
  <si>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</si>
  <si>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</si>
  <si>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</si>
  <si>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</si>
  <si>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</si>
  <si>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</si>
  <si>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</si>
  <si>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</si>
  <si>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</si>
  <si>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</si>
  <si>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</si>
  <si>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</si>
  <si>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</si>
  <si>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</si>
  <si>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</si>
  <si>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</si>
  <si>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</si>
  <si>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</si>
  <si>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</si>
  <si>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</si>
  <si>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</si>
  <si>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</si>
  <si>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</si>
  <si>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</si>
  <si>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</si>
  <si>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</si>
  <si>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</si>
  <si>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</si>
  <si>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</si>
  <si>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</si>
  <si>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</si>
  <si>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</si>
  <si>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</si>
  <si>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</si>
  <si>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</si>
  <si>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</si>
  <si>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</si>
  <si>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</si>
  <si>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</si>
  <si>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</si>
  <si>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</si>
  <si>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</si>
  <si>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</si>
  <si>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</si>
  <si>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</si>
  <si>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</si>
  <si>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</si>
  <si>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</si>
  <si>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</si>
  <si>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</si>
  <si>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</si>
  <si>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</si>
  <si>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</si>
  <si>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</si>
  <si>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</si>
  <si>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</si>
  <si>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</si>
  <si>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</si>
  <si>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</si>
  <si>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</si>
  <si>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</si>
  <si>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</si>
  <si>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</si>
  <si>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</si>
  <si>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</si>
  <si>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</si>
  <si>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</si>
  <si>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</si>
  <si>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</si>
  <si>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</si>
  <si>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</si>
  <si>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</si>
  <si>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</si>
  <si>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</si>
  <si>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</si>
  <si>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</si>
  <si>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</si>
  <si>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</si>
  <si>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</si>
  <si>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</si>
  <si>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</si>
  <si>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</si>
  <si>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</si>
  <si>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</si>
  <si>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</si>
  <si>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</si>
  <si>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</si>
  <si>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</si>
  <si>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</si>
  <si>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</si>
  <si>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</si>
  <si>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</si>
  <si>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</si>
  <si>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</si>
  <si>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</si>
  <si>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</si>
  <si>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</si>
  <si>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</si>
  <si>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</si>
  <si>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</si>
  <si>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</si>
  <si>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</si>
  <si>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</si>
  <si>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</si>
  <si>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</si>
  <si>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</si>
  <si>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</si>
  <si>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</si>
  <si>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</si>
  <si>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</si>
  <si>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</si>
  <si>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</si>
  <si>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</si>
  <si>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</si>
  <si>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</si>
  <si>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</si>
  <si>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</si>
  <si>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</si>
  <si>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</si>
  <si>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</si>
  <si>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</si>
  <si>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</si>
  <si>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</si>
  <si>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</si>
  <si>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</si>
  <si>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</si>
  <si>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</si>
  <si>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</si>
  <si>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</si>
  <si>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</si>
  <si>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</si>
  <si>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</si>
  <si>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</si>
  <si>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</si>
  <si>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</si>
  <si>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</si>
  <si>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</si>
  <si>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</si>
  <si>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</si>
  <si>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</si>
  <si>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</si>
  <si>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</si>
  <si>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</si>
  <si>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</si>
  <si>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</si>
  <si>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</si>
  <si>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</si>
  <si>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</si>
  <si>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</si>
  <si>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</si>
  <si>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</si>
  <si>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</si>
  <si>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</si>
  <si>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</si>
  <si>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</si>
  <si>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</si>
  <si>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</si>
  <si>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</si>
  <si>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</si>
  <si>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</si>
  <si>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</si>
  <si>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</si>
  <si>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</si>
  <si>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</si>
  <si>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</si>
  <si>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</si>
  <si>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</si>
  <si>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</si>
  <si>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</si>
  <si>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</si>
  <si>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</si>
  <si>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</si>
  <si>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</si>
  <si>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</si>
  <si>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</si>
  <si>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</si>
  <si>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</si>
  <si>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</si>
  <si>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</si>
  <si>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</si>
  <si>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</si>
  <si>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</si>
  <si>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</si>
  <si>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</si>
  <si>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</si>
  <si>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</si>
  <si>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</si>
  <si>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</si>
  <si>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</si>
  <si>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</si>
  <si>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</si>
  <si>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</si>
  <si>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</si>
  <si>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</si>
  <si>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</si>
  <si>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</si>
  <si>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</si>
  <si>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</si>
  <si>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</si>
  <si>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</si>
  <si>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</si>
  <si>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</si>
  <si>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</si>
  <si>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</si>
  <si>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</si>
  <si>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</si>
  <si>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</si>
  <si>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</si>
  <si>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</si>
  <si>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</si>
  <si>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</si>
  <si>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</si>
  <si>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</si>
  <si>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</si>
  <si>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</si>
  <si>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</si>
  <si>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</si>
  <si>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</si>
  <si>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</si>
  <si>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</si>
  <si>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</si>
  <si>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</si>
  <si>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</si>
  <si>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</si>
  <si>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</si>
  <si>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</si>
  <si>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</si>
  <si>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</si>
  <si>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</si>
  <si>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</si>
  <si>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</si>
  <si>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</si>
  <si>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</si>
  <si>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</si>
  <si>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</si>
  <si>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</si>
  <si>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</si>
  <si>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</si>
  <si>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</si>
  <si>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</si>
  <si>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</si>
  <si>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</si>
  <si>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</si>
  <si>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</si>
  <si>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</si>
  <si>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</si>
  <si>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</si>
  <si>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</si>
  <si>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</si>
  <si>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</si>
  <si>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</si>
  <si>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</si>
  <si>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</si>
  <si>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</si>
  <si>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</si>
  <si>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</si>
  <si>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</si>
  <si>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</si>
  <si>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</si>
  <si>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</si>
  <si>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</si>
  <si>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</si>
  <si>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</si>
  <si>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</si>
  <si>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</si>
  <si>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</si>
  <si>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</si>
  <si>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</si>
  <si>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</si>
  <si>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</si>
  <si>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</si>
  <si>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</si>
  <si>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</si>
  <si>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</si>
  <si>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</si>
  <si>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</si>
  <si>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</si>
  <si>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</si>
  <si>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</si>
  <si>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</si>
  <si>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</si>
  <si>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</si>
  <si>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</si>
  <si>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</si>
  <si>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</si>
  <si>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</si>
  <si>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</si>
  <si>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</si>
  <si>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</si>
  <si>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</si>
  <si>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</si>
  <si>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</si>
  <si>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</si>
  <si>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</si>
  <si>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</si>
  <si>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</si>
  <si>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</si>
  <si>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</si>
  <si>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</si>
  <si>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</si>
  <si>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</si>
  <si>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</si>
  <si>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</si>
  <si>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</si>
  <si>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</si>
  <si>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</si>
  <si>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</si>
  <si>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</si>
  <si>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</si>
  <si>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</si>
  <si>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</si>
  <si>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</si>
  <si>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</si>
  <si>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</si>
  <si>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</si>
  <si>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</si>
  <si>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</si>
  <si>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</si>
  <si>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</si>
  <si>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</si>
  <si>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</si>
  <si>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</si>
  <si>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</si>
  <si>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</si>
  <si>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</si>
  <si>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</si>
  <si>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</si>
  <si>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</si>
  <si>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</si>
  <si>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</si>
  <si>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</si>
  <si>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</si>
  <si>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</si>
  <si>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</si>
  <si>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</si>
  <si>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</si>
  <si>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</si>
  <si>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</si>
  <si>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</si>
  <si>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</si>
  <si>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</si>
  <si>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</si>
  <si>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</si>
  <si>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</si>
  <si>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</si>
  <si>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</si>
  <si>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</si>
  <si>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</si>
  <si>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</si>
  <si>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</si>
  <si>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</si>
  <si>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</si>
  <si>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</si>
  <si>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</si>
  <si>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</si>
  <si>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</si>
  <si>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</si>
  <si>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</si>
  <si>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</si>
  <si>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</si>
  <si>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</si>
  <si>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</si>
  <si>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</si>
  <si>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</si>
  <si>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</si>
  <si>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</si>
  <si>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</si>
  <si>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</si>
  <si>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</si>
  <si>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</si>
  <si>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</si>
  <si>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</si>
  <si>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</si>
  <si>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</si>
  <si>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</si>
  <si>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</si>
  <si>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</si>
  <si>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</si>
  <si>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</si>
  <si>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</si>
  <si>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</si>
  <si>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</si>
  <si>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</si>
  <si>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</si>
  <si>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</si>
  <si>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</si>
  <si>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</si>
  <si>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</si>
  <si>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</si>
  <si>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</si>
  <si>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</si>
  <si>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</si>
  <si>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</si>
  <si>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</si>
  <si>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</si>
  <si>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</si>
  <si>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</si>
  <si>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</si>
  <si>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</si>
  <si>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</si>
  <si>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</si>
  <si>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</si>
  <si>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</si>
  <si>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</si>
  <si>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</si>
  <si>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</si>
  <si>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</si>
  <si>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</si>
  <si>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</si>
  <si>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</si>
  <si>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</si>
  <si>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</si>
  <si>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</si>
  <si>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</si>
  <si>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</si>
  <si>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</si>
  <si>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</si>
  <si>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</si>
  <si>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</si>
  <si>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</si>
  <si>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</si>
  <si>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</si>
  <si>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</si>
  <si>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</si>
  <si>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</si>
  <si>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</si>
  <si>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</si>
  <si>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</si>
  <si>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</si>
  <si>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</si>
  <si>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</si>
  <si>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</si>
  <si>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</si>
  <si>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</si>
  <si>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</si>
  <si>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</si>
  <si>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</si>
  <si>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</si>
  <si>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</si>
  <si>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</si>
  <si>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</si>
  <si>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</si>
  <si>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</si>
  <si>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</si>
  <si>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</si>
  <si>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</si>
  <si>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</si>
  <si>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</si>
  <si>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</si>
  <si>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</si>
  <si>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</si>
  <si>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</si>
  <si>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</si>
  <si>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</si>
  <si>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</si>
  <si>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</si>
  <si>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</si>
  <si>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</si>
  <si>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</si>
  <si>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</si>
  <si>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</si>
  <si>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</si>
  <si>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</si>
  <si>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</si>
  <si>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</si>
  <si>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</si>
  <si>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</si>
  <si>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</si>
  <si>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</si>
  <si>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</si>
  <si>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</si>
  <si>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</si>
  <si>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</si>
  <si>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</si>
  <si>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</si>
  <si>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</si>
  <si>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</si>
  <si>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</si>
  <si>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</si>
  <si>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</si>
  <si>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</si>
  <si>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</si>
  <si>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</si>
  <si>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</si>
  <si>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</si>
  <si>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</si>
  <si>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</si>
  <si>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</si>
  <si>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</si>
  <si>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</si>
  <si>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</si>
  <si>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</si>
  <si>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</si>
  <si>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</si>
  <si>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</si>
  <si>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</si>
  <si>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</si>
  <si>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</si>
  <si>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</si>
  <si>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</si>
  <si>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</si>
  <si>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</si>
  <si>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</si>
  <si>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</si>
  <si>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</si>
  <si>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</si>
  <si>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</si>
  <si>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</si>
  <si>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</si>
  <si>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</si>
  <si>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</si>
  <si>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</si>
  <si>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</si>
  <si>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</si>
  <si>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</si>
  <si>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</si>
  <si>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</si>
  <si>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</si>
  <si>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</si>
  <si>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</si>
  <si>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</si>
  <si>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</si>
  <si>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</si>
  <si>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</si>
  <si>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</si>
  <si>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</si>
  <si>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</si>
  <si>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</si>
  <si>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</si>
  <si>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</si>
  <si>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</si>
  <si>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</si>
  <si>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</si>
  <si>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</si>
  <si>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</si>
  <si>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</si>
  <si>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</si>
  <si>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</si>
  <si>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</si>
  <si>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</si>
  <si>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</si>
  <si>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</si>
  <si>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</si>
  <si>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</si>
  <si>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</si>
  <si>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</si>
  <si>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</si>
  <si>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</si>
  <si>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</si>
  <si>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</si>
  <si>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</si>
  <si>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</si>
  <si>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</si>
  <si>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</si>
  <si>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</si>
  <si>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</si>
  <si>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</si>
  <si>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</si>
  <si>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</si>
  <si>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</si>
  <si>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</si>
  <si>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</si>
  <si>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</si>
  <si>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</si>
  <si>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</si>
  <si>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</si>
  <si>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</si>
  <si>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</si>
  <si>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</si>
  <si>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</si>
  <si>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</si>
  <si>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</si>
  <si>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</si>
  <si>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</si>
  <si>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</si>
  <si>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</si>
  <si>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</si>
  <si>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</si>
  <si>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</si>
  <si>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</si>
  <si>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</si>
  <si>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</si>
  <si>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</si>
  <si>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</si>
  <si>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</si>
  <si>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</si>
  <si>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</si>
  <si>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</si>
  <si>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</si>
  <si>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</si>
  <si>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</si>
  <si>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</si>
  <si>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</si>
  <si>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</si>
  <si>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</si>
  <si>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</si>
  <si>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</si>
  <si>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</si>
  <si>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</si>
  <si>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</si>
  <si>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</si>
  <si>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</si>
  <si>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</si>
  <si>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</si>
  <si>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</si>
  <si>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</si>
  <si>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</si>
  <si>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</si>
  <si>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</si>
  <si>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</si>
  <si>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</si>
  <si>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</si>
  <si>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</si>
  <si>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</si>
  <si>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</si>
  <si>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</si>
  <si>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</si>
  <si>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</si>
  <si>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</si>
  <si>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</si>
  <si>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</si>
  <si>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</si>
  <si>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</si>
  <si>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</si>
  <si>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</si>
  <si>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</si>
  <si>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</si>
  <si>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</si>
  <si>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</si>
  <si>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</si>
  <si>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</si>
  <si>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</si>
  <si>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</si>
  <si>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</si>
  <si>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</si>
  <si>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</si>
  <si>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</si>
  <si>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</si>
  <si>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</si>
  <si>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</si>
  <si>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</si>
  <si>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</si>
  <si>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</si>
  <si>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</si>
  <si>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</si>
  <si>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</si>
  <si>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</si>
  <si>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</si>
  <si>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</si>
  <si>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</si>
  <si>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</si>
  <si>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</si>
  <si>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</si>
  <si>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</si>
  <si>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</si>
  <si>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</si>
  <si>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</si>
  <si>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</si>
  <si>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</si>
  <si>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</si>
  <si>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</si>
  <si>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</si>
  <si>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</si>
  <si>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</si>
  <si>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</si>
  <si>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</si>
  <si>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</si>
  <si>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</si>
  <si>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</si>
  <si>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</si>
  <si>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</si>
  <si>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</si>
  <si>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</si>
  <si>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</si>
  <si>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</si>
  <si>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</si>
  <si>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</si>
  <si>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</si>
  <si>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</si>
  <si>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</si>
  <si>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</si>
  <si>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</si>
  <si>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</si>
  <si>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</si>
  <si>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</si>
  <si>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</si>
  <si>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</si>
  <si>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</si>
  <si>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</si>
  <si>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</si>
  <si>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</si>
  <si>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</si>
  <si>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</si>
  <si>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</si>
  <si>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</si>
  <si>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</si>
  <si>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</si>
  <si>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</si>
  <si>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</si>
  <si>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</si>
  <si>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</si>
  <si>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</si>
  <si>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</si>
  <si>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</si>
  <si>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</si>
  <si>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</si>
  <si>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</si>
  <si>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</si>
  <si>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</si>
  <si>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</si>
  <si>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</si>
  <si>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</si>
  <si>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</si>
  <si>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</si>
  <si>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</si>
  <si>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</si>
  <si>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</si>
  <si>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</si>
  <si>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</si>
  <si>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</si>
  <si>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</si>
  <si>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</si>
  <si>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</si>
  <si>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</si>
  <si>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</si>
  <si>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</si>
  <si>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</si>
  <si>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</si>
  <si>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</si>
  <si>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</si>
  <si>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</si>
  <si>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</si>
  <si>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</si>
  <si>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</si>
  <si>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</si>
  <si>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</si>
  <si>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</si>
  <si>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</si>
  <si>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</si>
  <si>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</si>
  <si>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</si>
  <si>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</si>
  <si>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</si>
  <si>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</si>
  <si>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</si>
  <si>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</si>
  <si>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</si>
  <si>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</si>
  <si>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</si>
  <si>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</si>
  <si>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</si>
  <si>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</si>
  <si>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</si>
  <si>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</si>
  <si>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</si>
  <si>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</si>
  <si>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</si>
  <si>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</si>
  <si>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</si>
  <si>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</si>
  <si>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</si>
  <si>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</si>
  <si>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</si>
  <si>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</si>
  <si>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</si>
  <si>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</si>
  <si>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</si>
  <si>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</si>
  <si>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</si>
  <si>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</si>
  <si>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</si>
  <si>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</si>
  <si>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</si>
  <si>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</si>
  <si>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</si>
  <si>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</si>
  <si>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</si>
  <si>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</si>
  <si>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</si>
  <si>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</si>
  <si>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</si>
  <si>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</si>
  <si>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</si>
  <si>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</si>
  <si>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</si>
  <si>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</si>
  <si>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</si>
  <si>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</si>
  <si>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</si>
  <si>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</si>
  <si>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</si>
  <si>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</si>
  <si>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</si>
  <si>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</si>
  <si>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</si>
  <si>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</si>
  <si>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</si>
  <si>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</si>
  <si>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</si>
  <si>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</si>
  <si>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</si>
  <si>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</si>
  <si>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</si>
  <si>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</si>
  <si>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</si>
  <si>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</si>
  <si>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</si>
  <si>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</si>
  <si>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</si>
  <si>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</si>
  <si>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</si>
  <si>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</si>
  <si>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</si>
  <si>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</si>
  <si>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</si>
  <si>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</si>
  <si>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</si>
  <si>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</si>
  <si>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</si>
  <si>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</si>
  <si>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</si>
  <si>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</si>
  <si>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</si>
  <si>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</si>
  <si>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</si>
  <si>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</si>
  <si>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</si>
  <si>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</si>
  <si>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</si>
  <si>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</si>
  <si>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</si>
  <si>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</si>
  <si>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</si>
  <si>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</si>
  <si>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</si>
  <si>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</si>
  <si>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</si>
  <si>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</si>
  <si>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</si>
  <si>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</si>
  <si>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</si>
  <si>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</si>
  <si>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</si>
  <si>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</si>
  <si>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</si>
  <si>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</si>
  <si>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</si>
  <si>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</si>
  <si>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</si>
  <si>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</si>
  <si>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</si>
  <si>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</si>
  <si>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</si>
  <si>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</si>
  <si>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</si>
  <si>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</si>
  <si>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</si>
  <si>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</si>
  <si>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</si>
  <si>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</si>
  <si>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</si>
  <si>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</si>
  <si>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</si>
  <si>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</si>
  <si>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</si>
  <si>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</si>
  <si>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</si>
  <si>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</si>
  <si>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</si>
  <si>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</si>
  <si>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</si>
  <si>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</si>
  <si>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</si>
  <si>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</si>
  <si>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</si>
  <si>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</si>
  <si>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</si>
  <si>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</si>
  <si>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</si>
  <si>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</si>
  <si>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</si>
  <si>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</si>
  <si>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</si>
  <si>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</si>
  <si>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</si>
  <si>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</si>
  <si>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</si>
  <si>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</si>
  <si>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</si>
  <si>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</si>
  <si>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</si>
  <si>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</si>
  <si>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</si>
  <si>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</si>
  <si>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</si>
  <si>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</si>
  <si>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</si>
  <si>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</si>
  <si>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</si>
  <si>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</si>
  <si>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</si>
  <si>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</si>
  <si>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</si>
  <si>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</si>
  <si>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</si>
  <si>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</si>
  <si>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</si>
  <si>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</si>
  <si>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</si>
  <si>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</si>
  <si>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</si>
  <si>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</si>
  <si>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</si>
  <si>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</si>
  <si>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</si>
  <si>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</si>
  <si>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</si>
  <si>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</si>
  <si>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</si>
  <si>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</si>
  <si>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</si>
  <si>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</si>
  <si>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</si>
  <si>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</si>
  <si>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</si>
  <si>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</si>
  <si>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</si>
  <si>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</si>
  <si>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</si>
  <si>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</si>
  <si>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</si>
  <si>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</si>
  <si>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</si>
  <si>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</si>
  <si>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</si>
  <si>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</si>
  <si>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</si>
  <si>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</si>
  <si>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</si>
  <si>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</si>
  <si>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</si>
  <si>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</si>
  <si>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</si>
  <si>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</si>
  <si>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</si>
  <si>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</si>
  <si>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</si>
  <si>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</si>
  <si>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</si>
  <si>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</si>
  <si>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</si>
  <si>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</si>
  <si>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</si>
  <si>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</si>
  <si>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</si>
  <si>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</si>
  <si>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</si>
  <si>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</si>
  <si>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</si>
  <si>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</si>
  <si>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</si>
  <si>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</si>
  <si>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</si>
  <si>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</si>
  <si>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</si>
  <si>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</si>
  <si>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</si>
  <si>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</si>
  <si>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</si>
  <si>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</si>
  <si>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</si>
  <si>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</si>
  <si>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</si>
  <si>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</si>
  <si>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</si>
  <si>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</si>
  <si>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</si>
  <si>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</si>
  <si>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</si>
  <si>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</si>
  <si>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</si>
  <si>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</si>
  <si>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</si>
  <si>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</si>
  <si>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</si>
  <si>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</si>
  <si>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</si>
  <si>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</si>
  <si>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</si>
  <si>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</si>
  <si>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</si>
  <si>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</si>
  <si>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</si>
  <si>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</si>
  <si>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</si>
  <si>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</si>
  <si>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</si>
  <si>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</si>
  <si>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</si>
  <si>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</si>
  <si>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</si>
  <si>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</si>
  <si>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</si>
  <si>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</si>
  <si>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</si>
  <si>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</si>
  <si>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</si>
  <si>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</si>
  <si>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</si>
  <si>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</si>
  <si>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</si>
  <si>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</si>
  <si>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</si>
  <si>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</si>
  <si>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</si>
  <si>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</si>
  <si>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</si>
  <si>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</si>
  <si>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</si>
  <si>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</si>
  <si>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</si>
  <si>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</si>
  <si>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</si>
  <si>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</si>
  <si>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</si>
  <si>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</si>
  <si>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</si>
  <si>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</si>
  <si>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</si>
  <si>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</si>
  <si>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</si>
  <si>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</si>
  <si>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</si>
  <si>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</si>
  <si>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</si>
  <si>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</si>
  <si>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</si>
  <si>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</si>
  <si>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</si>
  <si>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</si>
  <si>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</si>
  <si>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</si>
  <si>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</si>
  <si>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</si>
  <si>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</si>
  <si>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</si>
  <si>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</si>
  <si>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</si>
  <si>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</si>
  <si>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</si>
  <si>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</si>
  <si>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</si>
  <si>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</si>
  <si>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</si>
  <si>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</si>
  <si>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</si>
  <si>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</si>
  <si>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</si>
  <si>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</si>
  <si>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</si>
  <si>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</si>
  <si>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</si>
  <si>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</si>
  <si>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</si>
  <si>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</si>
  <si>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</si>
  <si>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</si>
  <si>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</si>
  <si>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</si>
  <si>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</si>
  <si>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</si>
  <si>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</si>
  <si>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</si>
  <si>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</si>
  <si>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</si>
  <si>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</si>
  <si>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</si>
  <si>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</si>
  <si>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</si>
  <si>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</si>
  <si>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</si>
  <si>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</si>
  <si>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</si>
  <si>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</si>
  <si>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</si>
  <si>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</si>
  <si>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</si>
  <si>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</si>
  <si>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</si>
  <si>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</si>
  <si>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</si>
  <si>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</si>
  <si>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</si>
  <si>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</si>
  <si>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</si>
  <si>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</si>
  <si>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</si>
  <si>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</si>
  <si>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</si>
  <si>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</si>
  <si>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</si>
  <si>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</si>
  <si>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</si>
  <si>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</si>
  <si>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</si>
  <si>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</si>
  <si>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</si>
  <si>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</si>
  <si>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</si>
  <si>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</si>
  <si>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</si>
  <si>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</si>
  <si>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</si>
  <si>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</si>
  <si>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</si>
  <si>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</si>
  <si>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</si>
  <si>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</si>
  <si>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</si>
  <si>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</si>
  <si>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</si>
  <si>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</si>
  <si>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</si>
  <si>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</si>
  <si>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</si>
  <si>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</si>
  <si>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</si>
  <si>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</si>
  <si>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</si>
  <si>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</si>
  <si>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</si>
  <si>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</si>
  <si>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</si>
  <si>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</si>
  <si>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</si>
  <si>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</si>
  <si>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</si>
  <si>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</si>
  <si>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</si>
  <si>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</si>
  <si>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</si>
  <si>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</si>
  <si>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</si>
  <si>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</si>
  <si>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</si>
  <si>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</si>
  <si>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</si>
  <si>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</si>
  <si>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</si>
  <si>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</si>
  <si>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</si>
  <si>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</si>
  <si>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</si>
  <si>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</si>
  <si>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</si>
  <si>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</si>
  <si>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</si>
  <si>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</si>
  <si>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</si>
  <si>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</si>
  <si>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</si>
  <si>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</si>
  <si>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</si>
  <si>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</si>
  <si>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</si>
  <si>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</si>
  <si>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</si>
  <si>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</si>
  <si>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</si>
  <si>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</si>
  <si>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</si>
  <si>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</si>
  <si>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</si>
  <si>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</si>
  <si>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</si>
  <si>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</si>
  <si>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</si>
  <si>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</si>
  <si>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</si>
  <si>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</si>
  <si>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</si>
  <si>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</si>
  <si>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</si>
  <si>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</si>
  <si>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</si>
  <si>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</si>
  <si>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</si>
  <si>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</si>
  <si>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</si>
  <si>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</si>
  <si>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</si>
  <si>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</si>
  <si>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</si>
  <si>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</si>
  <si>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</si>
  <si>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</si>
  <si>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</si>
  <si>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</si>
  <si>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</si>
  <si>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</si>
  <si>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</si>
  <si>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</si>
  <si>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</si>
  <si>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</si>
  <si>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</si>
  <si>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</si>
  <si>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</si>
  <si>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</si>
  <si>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</si>
  <si>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</si>
  <si>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</si>
  <si>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</si>
  <si>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</si>
  <si>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</si>
  <si>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</si>
  <si>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</si>
  <si>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</si>
  <si>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</si>
  <si>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</si>
  <si>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</si>
  <si>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</si>
  <si>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</si>
  <si>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</si>
  <si>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</si>
  <si>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</si>
  <si>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</si>
  <si>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</si>
  <si>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</si>
  <si>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</si>
  <si>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</si>
  <si>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</si>
  <si>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</si>
  <si>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</si>
  <si>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</si>
  <si>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</si>
  <si>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</si>
  <si>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</si>
  <si>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</si>
  <si>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</si>
  <si>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</si>
  <si>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</si>
  <si>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</si>
  <si>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</si>
  <si>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</si>
  <si>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</si>
  <si>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</si>
  <si>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</si>
  <si>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</si>
  <si>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</si>
  <si>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</si>
  <si>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</si>
  <si>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</si>
  <si>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</si>
  <si>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</si>
  <si>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</si>
  <si>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</si>
  <si>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</si>
  <si>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</si>
  <si>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</si>
  <si>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</si>
  <si>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</si>
  <si>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</si>
  <si>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</si>
  <si>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</si>
  <si>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</si>
  <si>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</si>
  <si>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</si>
  <si>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</si>
  <si>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</si>
  <si>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</si>
  <si>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</si>
  <si>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</si>
  <si>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</si>
  <si>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</si>
  <si>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</si>
  <si>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</si>
  <si>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</si>
  <si>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</si>
  <si>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</si>
  <si>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</si>
  <si>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</si>
  <si>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</si>
  <si>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</si>
  <si>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</si>
  <si>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</si>
  <si>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</si>
  <si>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</si>
  <si>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</si>
  <si>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</si>
  <si>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</si>
  <si>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</si>
  <si>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</si>
  <si>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</si>
  <si>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</si>
  <si>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</si>
  <si>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</si>
  <si>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</si>
  <si>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</si>
  <si>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</si>
  <si>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</si>
  <si>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</si>
  <si>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</si>
  <si>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</si>
  <si>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</si>
  <si>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</si>
  <si>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</si>
  <si>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</si>
  <si>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</si>
  <si>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</si>
  <si>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</si>
  <si>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</si>
  <si>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</si>
  <si>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</si>
  <si>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</si>
  <si>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</si>
  <si>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</si>
  <si>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</si>
  <si>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</si>
  <si>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</si>
  <si>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</si>
  <si>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</si>
  <si>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</si>
  <si>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</si>
  <si>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</si>
  <si>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</si>
  <si>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</si>
  <si>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</si>
  <si>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</si>
  <si>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</si>
  <si>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</si>
  <si>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</si>
  <si>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</si>
  <si>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</si>
  <si>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</si>
  <si>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</si>
  <si>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</si>
  <si>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</si>
  <si>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</si>
  <si>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</si>
  <si>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</si>
  <si>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</si>
  <si>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</si>
  <si>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</si>
  <si>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</si>
  <si>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</si>
  <si>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</si>
  <si>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</si>
  <si>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</si>
  <si>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</si>
  <si>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</si>
  <si>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</si>
  <si>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</si>
  <si>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</si>
  <si>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</si>
  <si>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</si>
  <si>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</si>
  <si>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</si>
  <si>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</si>
  <si>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</si>
  <si>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</si>
  <si>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</si>
  <si>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</si>
  <si>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</si>
  <si>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</si>
  <si>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</si>
  <si>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</si>
  <si>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</si>
  <si>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</si>
  <si>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</si>
  <si>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</si>
  <si>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</si>
  <si>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</si>
  <si>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</si>
  <si>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</si>
  <si>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</si>
  <si>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</si>
  <si>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</si>
  <si>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</si>
  <si>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</si>
  <si>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</si>
  <si>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</si>
  <si>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</si>
  <si>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</si>
  <si>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</si>
  <si>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</si>
  <si>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</si>
  <si>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</si>
  <si>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</si>
  <si>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</si>
  <si>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</si>
  <si>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</si>
  <si>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</si>
  <si>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</si>
  <si>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</si>
  <si>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</si>
  <si>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</si>
  <si>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</si>
  <si>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</si>
  <si>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</si>
  <si>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</si>
  <si>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</si>
  <si>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</si>
  <si>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</si>
  <si>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</si>
  <si>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</si>
  <si>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</si>
  <si>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</si>
  <si>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</si>
  <si>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</si>
  <si>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</si>
  <si>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</si>
  <si>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</si>
  <si>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</si>
  <si>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</si>
  <si>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</si>
  <si>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</si>
  <si>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</si>
  <si>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</si>
  <si>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</si>
  <si>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</si>
  <si>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</si>
  <si>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</si>
  <si>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</si>
  <si>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</si>
  <si>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</si>
  <si>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</si>
  <si>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</si>
  <si>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</si>
  <si>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</si>
  <si>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</si>
  <si>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</si>
  <si>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</si>
  <si>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</si>
  <si>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</si>
  <si>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</si>
  <si>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</si>
  <si>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</si>
  <si>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</si>
  <si>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</si>
  <si>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</si>
  <si>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</si>
  <si>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</si>
  <si>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</si>
  <si>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</si>
  <si>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</si>
  <si>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</si>
  <si>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</si>
  <si>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</si>
  <si>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</si>
  <si>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</si>
  <si>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</si>
  <si>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</si>
  <si>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</si>
  <si>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</si>
  <si>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</si>
  <si>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</si>
  <si>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</si>
  <si>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</si>
  <si>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</si>
  <si>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</si>
  <si>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</si>
  <si>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</si>
  <si>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</si>
  <si>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</si>
  <si>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</si>
  <si>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</si>
  <si>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</si>
  <si>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</si>
  <si>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</si>
  <si>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</si>
  <si>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</si>
  <si>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</si>
  <si>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</si>
  <si>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</si>
  <si>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</si>
  <si>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</si>
  <si>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</si>
  <si>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</si>
  <si>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</si>
  <si>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</si>
  <si>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</si>
  <si>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</si>
  <si>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</si>
  <si>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</si>
  <si>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</si>
  <si>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</si>
  <si>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</si>
  <si>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</si>
  <si>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</si>
  <si>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</si>
  <si>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</si>
  <si>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</si>
  <si>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</si>
  <si>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</si>
  <si>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</si>
  <si>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</si>
  <si>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</si>
  <si>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</si>
  <si>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</si>
  <si>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</si>
  <si>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</si>
  <si>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</si>
  <si>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</si>
  <si>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</si>
  <si>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</si>
  <si>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</si>
  <si>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</si>
  <si>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</si>
  <si>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</si>
  <si>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</si>
  <si>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</si>
  <si>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</si>
  <si>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</si>
  <si>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</si>
  <si>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</si>
  <si>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</si>
  <si>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</si>
  <si>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</si>
  <si>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</si>
  <si>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</si>
  <si>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</si>
  <si>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</si>
  <si>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</si>
  <si>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</si>
  <si>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</si>
  <si>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</si>
  <si>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</si>
  <si>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</si>
  <si>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</si>
  <si>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</si>
  <si>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</si>
  <si>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</si>
  <si>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</si>
  <si>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</si>
  <si>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</si>
  <si>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</si>
  <si>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</si>
  <si>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</si>
  <si>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</si>
  <si>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</si>
  <si>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</si>
  <si>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</si>
  <si>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</si>
  <si>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</si>
  <si>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</si>
  <si>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</si>
  <si>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</si>
  <si>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</si>
  <si>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</si>
  <si>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</si>
  <si>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</si>
  <si>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</si>
  <si>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</si>
  <si>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</si>
  <si>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</si>
  <si>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</si>
  <si>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</si>
  <si>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</si>
  <si>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</si>
  <si>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</si>
  <si>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</si>
  <si>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</si>
  <si>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</si>
  <si>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</si>
  <si>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</si>
  <si>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</si>
  <si>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</si>
  <si>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</si>
  <si>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</si>
  <si>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</si>
  <si>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</si>
  <si>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</si>
  <si>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</si>
  <si>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</si>
  <si>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</si>
  <si>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</si>
  <si>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</si>
  <si>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</si>
  <si>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</si>
  <si>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</si>
  <si>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</si>
  <si>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</si>
  <si>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</si>
  <si>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</si>
  <si>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</si>
  <si>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</si>
  <si>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</si>
  <si>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</si>
  <si>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</si>
  <si>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</si>
  <si>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</si>
  <si>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</si>
  <si>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</si>
  <si>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</si>
  <si>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</si>
  <si>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</si>
  <si>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</si>
  <si>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</si>
  <si>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</si>
  <si>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</si>
  <si>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</si>
  <si>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</si>
  <si>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</si>
  <si>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</si>
  <si>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</si>
  <si>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</si>
  <si>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</si>
  <si>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</si>
  <si>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</si>
  <si>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</si>
  <si>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</si>
  <si>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</si>
  <si>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</si>
  <si>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</si>
  <si>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</si>
  <si>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</si>
  <si>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</si>
  <si>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</si>
  <si>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</si>
  <si>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</si>
  <si>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</si>
  <si>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</si>
  <si>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</si>
  <si>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</si>
  <si>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</si>
  <si>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</si>
  <si>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</si>
  <si>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</si>
  <si>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</si>
  <si>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</si>
  <si>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</si>
  <si>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</si>
  <si>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</si>
  <si>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</si>
  <si>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</si>
  <si>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</si>
  <si>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</si>
  <si>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</si>
  <si>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</si>
  <si>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</si>
  <si>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</si>
  <si>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</si>
  <si>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</si>
  <si>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</si>
  <si>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</si>
  <si>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</si>
  <si>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</si>
  <si>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</si>
  <si>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</si>
  <si>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</si>
  <si>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</si>
  <si>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</si>
  <si>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</si>
  <si>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</si>
  <si>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</si>
  <si>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</si>
  <si>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</si>
  <si>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</si>
  <si>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</si>
  <si>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</si>
  <si>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</si>
  <si>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</si>
  <si>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</si>
  <si>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</si>
  <si>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</si>
  <si>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</si>
  <si>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</si>
  <si>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</si>
  <si>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</si>
  <si>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</si>
  <si>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</si>
  <si>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</si>
  <si>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</si>
  <si>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</si>
  <si>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</si>
  <si>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</si>
  <si>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</si>
  <si>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</si>
  <si>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</si>
  <si>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</si>
  <si>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</si>
  <si>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</si>
  <si>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</si>
  <si>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</si>
  <si>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</si>
  <si>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</si>
  <si>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</si>
  <si>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</si>
  <si>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</si>
  <si>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</si>
  <si>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</si>
  <si>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</si>
  <si>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</si>
  <si>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</si>
  <si>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</si>
  <si>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</si>
  <si>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</si>
  <si>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</si>
  <si>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</si>
  <si>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</si>
  <si>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</si>
  <si>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</si>
  <si>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</si>
  <si>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</si>
  <si>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</si>
  <si>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</si>
  <si>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</si>
  <si>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</si>
  <si>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</si>
  <si>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</si>
  <si>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</si>
  <si>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</si>
  <si>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</si>
  <si>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</si>
  <si>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</si>
  <si>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</si>
  <si>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</si>
  <si>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</si>
  <si>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</si>
  <si>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</si>
  <si>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</si>
  <si>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</si>
  <si>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</si>
  <si>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</si>
  <si>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</si>
  <si>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</si>
  <si>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</si>
  <si>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</si>
  <si>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</si>
  <si>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</si>
  <si>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</si>
  <si>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</si>
  <si>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</si>
  <si>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</si>
  <si>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</si>
  <si>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</si>
  <si>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</si>
  <si>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</si>
  <si>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</si>
  <si>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</si>
  <si>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</si>
  <si>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</si>
  <si>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</si>
  <si>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</si>
  <si>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</si>
  <si>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</si>
  <si>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</si>
  <si>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</si>
  <si>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</si>
  <si>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</si>
  <si>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</si>
  <si>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</si>
  <si>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</si>
  <si>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</si>
  <si>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</si>
  <si>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</si>
  <si>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</si>
  <si>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</si>
  <si>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</si>
  <si>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</si>
  <si>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</si>
  <si>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</si>
  <si>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</si>
  <si>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</si>
  <si>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</si>
  <si>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</si>
  <si>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</si>
  <si>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</si>
  <si>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</si>
  <si>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</si>
  <si>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</si>
  <si>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</si>
  <si>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</si>
  <si>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</si>
  <si>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</si>
  <si>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</si>
  <si>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</si>
  <si>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</si>
  <si>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</si>
  <si>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</si>
  <si>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</si>
  <si>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</si>
  <si>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</si>
  <si>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</si>
  <si>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</si>
  <si>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</si>
  <si>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</si>
  <si>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</si>
  <si>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</si>
  <si>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</si>
  <si>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</si>
  <si>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</si>
  <si>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</si>
  <si>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</si>
  <si>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</si>
  <si>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</si>
  <si>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</si>
  <si>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</si>
  <si>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</si>
  <si>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</si>
  <si>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</si>
  <si>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</si>
  <si>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</si>
  <si>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</si>
  <si>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</si>
  <si>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</si>
  <si>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</si>
  <si>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</si>
  <si>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</si>
  <si>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</si>
  <si>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</si>
  <si>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</si>
  <si>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</si>
  <si>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</si>
  <si>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</si>
  <si>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</si>
  <si>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</si>
  <si>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</si>
  <si>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</si>
  <si>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</si>
  <si>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</si>
  <si>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</si>
  <si>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</si>
  <si>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</si>
  <si>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</si>
  <si>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</si>
  <si>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</si>
  <si>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</si>
  <si>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</si>
  <si>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</si>
  <si>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</si>
  <si>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</si>
  <si>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</si>
  <si>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</si>
  <si>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</si>
  <si>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</si>
  <si>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</si>
  <si>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</si>
  <si>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</si>
  <si>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</si>
  <si>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</si>
  <si>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</si>
  <si>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</si>
  <si>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</si>
  <si>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</si>
  <si>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</si>
  <si>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</si>
  <si>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</si>
  <si>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</si>
  <si>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</si>
  <si>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</si>
  <si>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</si>
  <si>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</si>
  <si>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</si>
  <si>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</si>
  <si>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</si>
  <si>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</si>
  <si>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</si>
  <si>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</si>
  <si>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</si>
  <si>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</si>
  <si>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</si>
  <si>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</si>
  <si>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</si>
  <si>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</si>
  <si>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</si>
  <si>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</si>
  <si>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</si>
  <si>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</si>
  <si>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</si>
  <si>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</si>
  <si>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</si>
  <si>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</si>
  <si>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</si>
  <si>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</si>
  <si>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</si>
  <si>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</si>
  <si>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</si>
  <si>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</si>
  <si>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</si>
  <si>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</si>
  <si>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</si>
  <si>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</si>
  <si>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</si>
  <si>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</si>
  <si>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</si>
  <si>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</si>
  <si>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</si>
  <si>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</si>
  <si>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</si>
  <si>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</si>
  <si>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</si>
  <si>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</si>
  <si>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</si>
  <si>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</si>
  <si>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</si>
  <si>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</si>
  <si>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</si>
  <si>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</si>
  <si>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</si>
  <si>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</si>
  <si>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</si>
  <si>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</si>
  <si>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</si>
  <si>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</si>
  <si>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</si>
  <si>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</si>
  <si>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</si>
  <si>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</si>
  <si>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</si>
  <si>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</si>
  <si>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</si>
  <si>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</si>
  <si>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</si>
  <si>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</si>
  <si>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</si>
  <si>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</si>
  <si>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</si>
  <si>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</si>
  <si>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</si>
  <si>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</si>
  <si>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</si>
  <si>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</si>
  <si>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</si>
  <si>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</si>
  <si>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</si>
  <si>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</si>
  <si>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</si>
  <si>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</si>
  <si>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</si>
  <si>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</si>
  <si>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</si>
  <si>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</si>
  <si>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</si>
  <si>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</si>
  <si>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</si>
  <si>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</si>
  <si>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</si>
  <si>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</si>
  <si>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</si>
  <si>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</si>
  <si>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</si>
  <si>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</si>
  <si>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</si>
  <si>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</si>
  <si>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</si>
  <si>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</si>
  <si>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</si>
  <si>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</si>
  <si>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</si>
  <si>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</si>
  <si>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</si>
  <si>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</si>
  <si>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</si>
  <si>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</si>
  <si>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</si>
  <si>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</si>
  <si>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</si>
  <si>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</si>
  <si>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</si>
  <si>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</si>
  <si>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</si>
  <si>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</si>
  <si>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</si>
  <si>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</si>
  <si>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</si>
  <si>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</si>
  <si>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</si>
  <si>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</si>
  <si>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</si>
  <si>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</si>
  <si>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</si>
  <si>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</si>
  <si>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</si>
  <si>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</si>
  <si>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</si>
  <si>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</si>
  <si>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</si>
  <si>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</si>
  <si>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</si>
  <si>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</si>
  <si>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</si>
  <si>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</si>
  <si>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</si>
  <si>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</si>
  <si>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</si>
  <si>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</si>
  <si>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</si>
  <si>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</si>
  <si>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</si>
  <si>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</si>
  <si>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</si>
  <si>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</si>
  <si>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</si>
  <si>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</si>
  <si>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</si>
  <si>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</si>
  <si>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</si>
  <si>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</si>
  <si>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</si>
  <si>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</si>
  <si>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</si>
  <si>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</si>
  <si>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</si>
  <si>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</si>
  <si>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</si>
  <si>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</si>
  <si>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</si>
  <si>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</si>
  <si>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</si>
  <si>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</si>
  <si>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</si>
  <si>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</si>
  <si>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</si>
  <si>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</si>
  <si>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</si>
  <si>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</si>
  <si>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</si>
  <si>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</si>
  <si>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</si>
  <si>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</si>
  <si>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</si>
  <si>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</si>
  <si>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</si>
  <si>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</si>
  <si>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</si>
  <si>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</si>
  <si>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</si>
  <si>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</si>
  <si>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</si>
  <si>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</si>
  <si>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</si>
  <si>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</si>
  <si>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</si>
  <si>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</si>
  <si>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</si>
  <si>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</si>
  <si>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</si>
  <si>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</si>
  <si>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</si>
  <si>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</si>
  <si>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</si>
  <si>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</si>
  <si>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</si>
  <si>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</si>
  <si>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</si>
  <si>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</si>
  <si>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</si>
  <si>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</si>
  <si>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</si>
  <si>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</si>
  <si>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</si>
  <si>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</si>
  <si>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</si>
  <si>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</si>
  <si>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</si>
  <si>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</si>
  <si>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</si>
  <si>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</si>
  <si>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</si>
  <si>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</si>
  <si>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</si>
  <si>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</si>
  <si>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</si>
  <si>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</si>
  <si>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</si>
  <si>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</si>
  <si>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</si>
  <si>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</si>
  <si>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</si>
  <si>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</si>
  <si>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</si>
  <si>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</si>
  <si>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</si>
  <si>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</si>
  <si>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</si>
  <si>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</si>
  <si>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</si>
  <si>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</si>
  <si>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</si>
  <si>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</si>
  <si>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</si>
  <si>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</si>
  <si>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</si>
  <si>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</si>
  <si>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</si>
  <si>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</si>
  <si>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</si>
  <si>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</si>
  <si>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</si>
  <si>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</si>
  <si>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</si>
  <si>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</si>
  <si>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</si>
  <si>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</si>
  <si>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</si>
  <si>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</si>
  <si>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</si>
  <si>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</si>
  <si>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</si>
  <si>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</si>
  <si>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</si>
  <si>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</si>
  <si>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</si>
  <si>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</si>
  <si>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</si>
  <si>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</si>
  <si>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</si>
  <si>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</si>
  <si>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</si>
  <si>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</si>
  <si>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</si>
  <si>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</si>
  <si>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</si>
  <si>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</si>
  <si>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</si>
  <si>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</si>
  <si>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</si>
  <si>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</si>
  <si>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</si>
  <si>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</si>
  <si>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</si>
  <si>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</si>
  <si>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</si>
  <si>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</si>
  <si>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</si>
  <si>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</si>
  <si>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</si>
  <si>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</si>
  <si>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</si>
  <si>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</si>
  <si>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</si>
  <si>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</si>
  <si>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</si>
  <si>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</si>
  <si>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</si>
  <si>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</si>
  <si>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</si>
  <si>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</si>
  <si>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</si>
  <si>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</si>
  <si>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</si>
  <si>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</si>
  <si>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</si>
  <si>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</si>
  <si>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</si>
  <si>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</si>
  <si>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</si>
  <si>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</si>
  <si>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</si>
  <si>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</si>
  <si>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</si>
  <si>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</si>
  <si>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</si>
  <si>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</si>
  <si>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</si>
  <si>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</si>
  <si>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</si>
  <si>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</si>
  <si>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</si>
  <si>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</si>
  <si>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</si>
  <si>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</si>
  <si>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</si>
  <si>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</si>
  <si>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</si>
  <si>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</si>
  <si>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</si>
  <si>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</si>
  <si>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</si>
  <si>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</si>
  <si>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</si>
  <si>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</si>
  <si>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</si>
  <si>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</si>
  <si>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</si>
  <si>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</si>
  <si>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</si>
  <si>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</si>
  <si>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</si>
  <si>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</si>
  <si>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</si>
  <si>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</si>
  <si>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</si>
  <si>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</si>
  <si>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</si>
  <si>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</si>
  <si>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</si>
  <si>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</si>
  <si>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</si>
  <si>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</si>
  <si>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</si>
  <si>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</si>
  <si>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</si>
  <si>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</si>
  <si>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</si>
  <si>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</si>
  <si>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</si>
  <si>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</si>
  <si>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</si>
  <si>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</si>
  <si>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</si>
  <si>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</si>
  <si>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</si>
  <si>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</si>
  <si>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</si>
  <si>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</si>
  <si>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</si>
  <si>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</si>
  <si>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</si>
  <si>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</si>
  <si>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</si>
  <si>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</si>
  <si>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</si>
  <si>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</si>
  <si>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</si>
  <si>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</si>
  <si>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</si>
  <si>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</si>
  <si>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</si>
  <si>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</si>
  <si>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</si>
  <si>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</si>
  <si>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</si>
  <si>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</si>
  <si>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</si>
  <si>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</si>
  <si>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</si>
  <si>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</si>
  <si>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</si>
  <si>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</si>
  <si>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</si>
  <si>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</si>
  <si>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</si>
  <si>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</si>
  <si>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</si>
  <si>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</si>
  <si>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</si>
  <si>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</si>
  <si>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</si>
  <si>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</si>
  <si>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</si>
  <si>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</si>
  <si>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</si>
  <si>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</si>
  <si>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</si>
  <si>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</si>
  <si>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</si>
  <si>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</si>
  <si>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</si>
  <si>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</si>
  <si>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</si>
  <si>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</si>
  <si>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</si>
  <si>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</si>
  <si>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</si>
  <si>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</si>
  <si>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</si>
  <si>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</si>
  <si>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</si>
  <si>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</si>
  <si>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</si>
  <si>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</si>
  <si>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</si>
  <si>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</si>
  <si>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</si>
  <si>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</si>
  <si>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</si>
  <si>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</si>
  <si>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</si>
  <si>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</si>
  <si>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</si>
  <si>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</si>
  <si>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</si>
  <si>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</si>
  <si>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</si>
  <si>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</si>
  <si>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</si>
  <si>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</si>
  <si>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</si>
  <si>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</si>
  <si>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</si>
  <si>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</si>
  <si>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</si>
  <si>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</si>
  <si>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</si>
  <si>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</si>
  <si>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</si>
  <si>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</si>
  <si>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</si>
  <si>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</si>
  <si>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</si>
  <si>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</si>
  <si>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</si>
  <si>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</si>
  <si>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</si>
  <si>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</si>
  <si>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</si>
  <si>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</si>
  <si>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</si>
  <si>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</si>
  <si>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</si>
  <si>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</si>
  <si>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</si>
  <si>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</si>
  <si>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</si>
  <si>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</si>
  <si>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</si>
  <si>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</si>
  <si>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</si>
  <si>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</si>
  <si>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</si>
  <si>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</si>
  <si>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</si>
  <si>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</si>
  <si>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</si>
  <si>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</si>
  <si>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</si>
  <si>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</si>
  <si>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</si>
  <si>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</si>
  <si>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</si>
  <si>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</si>
  <si>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</si>
  <si>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</si>
  <si>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</si>
  <si>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</si>
  <si>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</si>
  <si>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</si>
  <si>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</si>
  <si>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</si>
  <si>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</si>
  <si>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</si>
  <si>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</si>
  <si>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</si>
  <si>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</si>
  <si>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</si>
  <si>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</si>
  <si>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</si>
  <si>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</si>
  <si>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</si>
  <si>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</si>
  <si>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</si>
  <si>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</si>
  <si>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</si>
  <si>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</si>
  <si>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</si>
  <si>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</si>
  <si>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</si>
  <si>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</si>
  <si>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</si>
  <si>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</si>
  <si>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</si>
  <si>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</si>
  <si>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</si>
  <si>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</si>
  <si>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</si>
  <si>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</si>
  <si>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</si>
  <si>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</si>
  <si>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</si>
  <si>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</si>
  <si>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</si>
  <si>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</si>
  <si>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</si>
  <si>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</si>
  <si>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</si>
  <si>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</si>
  <si>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</si>
  <si>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</si>
  <si>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</si>
  <si>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</si>
  <si>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</si>
  <si>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</si>
  <si>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</si>
  <si>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</si>
  <si>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</si>
  <si>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</si>
  <si>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</si>
  <si>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</si>
  <si>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</si>
  <si>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</si>
  <si>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</si>
  <si>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</si>
  <si>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</si>
  <si>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</si>
  <si>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</si>
  <si>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</si>
  <si>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</si>
  <si>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</si>
  <si>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</si>
  <si>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</si>
  <si>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</si>
  <si>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</si>
  <si>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</si>
  <si>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</si>
  <si>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</si>
  <si>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</si>
  <si>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</si>
  <si>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</si>
  <si>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</si>
  <si>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</si>
  <si>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</si>
  <si>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</si>
  <si>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</si>
  <si>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</si>
  <si>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</si>
  <si>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</si>
  <si>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</si>
  <si>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</si>
  <si>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</si>
  <si>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</si>
  <si>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</si>
  <si>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</si>
  <si>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</si>
  <si>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</si>
  <si>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</si>
  <si>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</si>
  <si>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</si>
  <si>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</si>
  <si>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</si>
  <si>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</si>
  <si>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</si>
  <si>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</si>
  <si>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</si>
  <si>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</si>
  <si>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</si>
  <si>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</si>
  <si>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</si>
  <si>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</si>
  <si>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</si>
  <si>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</si>
  <si>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</si>
  <si>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</si>
  <si>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</si>
  <si>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</si>
  <si>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</si>
  <si>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</si>
  <si>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</si>
  <si>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</si>
  <si>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</si>
  <si>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</si>
  <si>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</si>
  <si>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</si>
  <si>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</si>
  <si>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</si>
  <si>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</si>
  <si>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</si>
  <si>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</si>
  <si>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</si>
  <si>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</si>
  <si>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</si>
  <si>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</si>
  <si>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</si>
  <si>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</si>
  <si>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</si>
  <si>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</si>
  <si>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</si>
  <si>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</si>
  <si>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</si>
  <si>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</si>
  <si>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</si>
  <si>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</si>
  <si>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</si>
  <si>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</si>
  <si>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</si>
  <si>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</si>
  <si>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</si>
  <si>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</si>
  <si>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</si>
  <si>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</si>
  <si>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</si>
  <si>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</si>
  <si>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</si>
  <si>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</si>
  <si>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</si>
  <si>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</si>
  <si>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</si>
  <si>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</si>
  <si>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</si>
  <si>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</si>
  <si>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</si>
  <si>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</si>
  <si>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</si>
  <si>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</si>
  <si>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</si>
  <si>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</si>
  <si>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</si>
  <si>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</si>
  <si>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</si>
  <si>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</si>
  <si>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</si>
  <si>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</si>
  <si>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</si>
  <si>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</si>
  <si>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</si>
  <si>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</si>
  <si>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</si>
  <si>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</si>
  <si>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</si>
  <si>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</si>
  <si>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</si>
  <si>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</si>
  <si>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</si>
  <si>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</si>
  <si>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</si>
  <si>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</si>
  <si>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</si>
  <si>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</si>
  <si>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</si>
  <si>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</si>
  <si>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</si>
  <si>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</si>
  <si>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</si>
  <si>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</si>
  <si>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</si>
  <si>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</si>
  <si>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</si>
  <si>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</si>
  <si>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</si>
  <si>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</si>
  <si>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</si>
  <si>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</si>
  <si>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</si>
  <si>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</si>
  <si>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</si>
  <si>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</si>
  <si>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</si>
  <si>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</si>
  <si>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</si>
  <si>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</si>
  <si>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</si>
  <si>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</si>
  <si>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</si>
  <si>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</si>
  <si>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</si>
  <si>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</si>
  <si>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</si>
  <si>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</si>
  <si>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</si>
  <si>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</si>
  <si>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</si>
  <si>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</si>
  <si>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</si>
  <si>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</si>
  <si>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</si>
  <si>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</si>
  <si>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</si>
  <si>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</si>
  <si>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</si>
  <si>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</si>
  <si>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</si>
  <si>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</si>
  <si>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</si>
  <si>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</si>
  <si>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</si>
  <si>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</si>
  <si>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</si>
  <si>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</si>
  <si>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</si>
  <si>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</si>
  <si>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</si>
  <si>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</si>
  <si>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</si>
  <si>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</si>
  <si>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</si>
  <si>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</si>
  <si>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</si>
  <si>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</si>
  <si>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</si>
  <si>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</si>
  <si>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</si>
  <si>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</si>
  <si>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</si>
  <si>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</si>
  <si>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</si>
  <si>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</si>
  <si>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</si>
  <si>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</si>
  <si>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</si>
  <si>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</si>
  <si>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</si>
  <si>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</si>
  <si>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</si>
  <si>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</si>
  <si>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</si>
  <si>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</si>
  <si>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</si>
  <si>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</si>
  <si>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</si>
  <si>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</si>
  <si>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</si>
  <si>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</si>
  <si>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</si>
  <si>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</si>
  <si>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</si>
  <si>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</si>
  <si>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</si>
  <si>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</si>
  <si>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</si>
  <si>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</si>
  <si>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</si>
  <si>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</si>
  <si>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</si>
  <si>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</si>
  <si>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</si>
  <si>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</si>
  <si>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</si>
  <si>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</si>
  <si>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</si>
  <si>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</si>
  <si>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</si>
  <si>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</si>
  <si>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</si>
  <si>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</si>
  <si>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</si>
  <si>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</si>
  <si>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</si>
  <si>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</si>
  <si>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</si>
  <si>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</si>
  <si>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</si>
  <si>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</si>
  <si>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</si>
  <si>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</si>
  <si>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</si>
  <si>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</si>
  <si>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</si>
  <si>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</si>
  <si>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</si>
  <si>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</si>
  <si>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</si>
  <si>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</si>
  <si>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</si>
  <si>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</si>
  <si>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</si>
  <si>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</si>
  <si>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</si>
  <si>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</si>
  <si>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</si>
  <si>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</si>
  <si>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</si>
  <si>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</si>
  <si>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</si>
  <si>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</si>
  <si>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</si>
  <si>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</si>
  <si>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</si>
  <si>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</si>
  <si>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</si>
  <si>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</si>
  <si>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</si>
  <si>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</si>
  <si>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</si>
  <si>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</si>
  <si>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</si>
  <si>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</si>
  <si>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</si>
  <si>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</si>
  <si>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</si>
  <si>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</si>
  <si>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</si>
  <si>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</si>
  <si>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</si>
  <si>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</si>
  <si>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</si>
  <si>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</si>
  <si>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</si>
  <si>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</si>
  <si>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</si>
  <si>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</si>
  <si>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</si>
  <si>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</si>
  <si>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</si>
  <si>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</si>
  <si>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</si>
  <si>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</si>
  <si>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</si>
  <si>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</si>
  <si>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</si>
  <si>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</si>
  <si>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</si>
  <si>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</si>
  <si>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</si>
  <si>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</si>
  <si>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</si>
  <si>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</si>
  <si>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</si>
  <si>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</si>
  <si>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</si>
  <si>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</si>
  <si>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</si>
  <si>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</si>
  <si>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</si>
  <si>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</si>
  <si>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</si>
  <si>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</si>
  <si>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</si>
  <si>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</si>
  <si>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</si>
  <si>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</si>
  <si>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</si>
  <si>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</si>
  <si>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</si>
  <si>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</si>
  <si>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</si>
  <si>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</si>
  <si>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</si>
  <si>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</si>
  <si>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</si>
  <si>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</si>
  <si>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</si>
  <si>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</si>
  <si>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</si>
  <si>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</si>
  <si>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</si>
  <si>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</si>
  <si>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</si>
  <si>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</si>
  <si>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</si>
  <si>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</si>
  <si>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</si>
  <si>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</si>
  <si>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</si>
  <si>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</si>
  <si>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</si>
  <si>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</si>
  <si>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</si>
  <si>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</si>
  <si>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</si>
  <si>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</si>
  <si>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</si>
  <si>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</si>
  <si>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</si>
  <si>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</si>
  <si>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</si>
  <si>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</si>
  <si>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</si>
  <si>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</si>
  <si>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</si>
  <si>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</si>
  <si>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</si>
  <si>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</si>
  <si>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</si>
  <si>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</si>
  <si>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</si>
  <si>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</si>
  <si>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</si>
  <si>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</si>
  <si>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</si>
  <si>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</si>
  <si>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</si>
  <si>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</si>
  <si>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</si>
  <si>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</si>
  <si>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</si>
  <si>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</si>
  <si>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</si>
  <si>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</si>
  <si>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</si>
  <si>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</si>
  <si>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</si>
  <si>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</si>
  <si>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</si>
  <si>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</si>
  <si>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</si>
  <si>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</si>
  <si>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</si>
  <si>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</si>
  <si>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</si>
  <si>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</si>
  <si>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</si>
  <si>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</si>
  <si>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</si>
  <si>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</si>
  <si>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</si>
  <si>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</si>
  <si>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</si>
  <si>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</si>
  <si>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</si>
  <si>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</si>
  <si>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</si>
  <si>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</si>
  <si>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</si>
  <si>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</si>
  <si>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</si>
  <si>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</si>
  <si>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</si>
  <si>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</si>
  <si>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</si>
  <si>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</si>
  <si>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</si>
  <si>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</si>
  <si>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</si>
  <si>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</si>
  <si>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</si>
  <si>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</si>
  <si>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</si>
  <si>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</si>
  <si>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</si>
  <si>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</si>
  <si>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</si>
  <si>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</si>
  <si>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</si>
  <si>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</si>
  <si>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</si>
  <si>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</si>
  <si>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</si>
  <si>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</si>
  <si>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</si>
  <si>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</si>
  <si>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</si>
  <si>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</si>
  <si>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</si>
  <si>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</si>
  <si>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</si>
  <si>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</si>
  <si>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</si>
  <si>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</si>
  <si>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</si>
  <si>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</si>
  <si>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</si>
  <si>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</si>
  <si>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</si>
  <si>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</si>
  <si>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</si>
  <si>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</si>
  <si>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</si>
  <si>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</si>
  <si>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</si>
  <si>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</si>
  <si>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</si>
  <si>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</si>
  <si>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</si>
  <si>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</si>
  <si>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</si>
  <si>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</si>
  <si>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</si>
  <si>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</si>
  <si>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</si>
  <si>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</si>
  <si>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</si>
  <si>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</si>
  <si>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</si>
  <si>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</si>
  <si>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</si>
  <si>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</si>
  <si>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</si>
  <si>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</si>
  <si>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</si>
  <si>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</si>
  <si>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</si>
  <si>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</si>
  <si>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</si>
  <si>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</si>
  <si>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</si>
  <si>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</si>
  <si>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</si>
  <si>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</si>
  <si>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</si>
  <si>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</si>
  <si>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</si>
  <si>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</si>
  <si>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</si>
  <si>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</si>
  <si>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</si>
  <si>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</si>
  <si>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</si>
  <si>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</si>
  <si>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</si>
  <si>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</si>
  <si>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</si>
  <si>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</si>
  <si>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</si>
  <si>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</si>
  <si>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</si>
  <si>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</si>
  <si>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</si>
  <si>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</si>
  <si>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</si>
  <si>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</si>
  <si>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</si>
  <si>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</si>
  <si>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</si>
  <si>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</si>
  <si>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</si>
  <si>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</si>
  <si>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</si>
  <si>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</si>
  <si>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</si>
  <si>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</si>
  <si>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</si>
  <si>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</si>
  <si>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</si>
  <si>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</si>
  <si>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</si>
  <si>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</si>
  <si>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</si>
  <si>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</si>
  <si>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</si>
  <si>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</si>
  <si>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</si>
  <si>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</si>
  <si>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</si>
  <si>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</si>
  <si>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</si>
  <si>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</si>
  <si>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</si>
  <si>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</si>
  <si>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</si>
  <si>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</si>
  <si>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</si>
  <si>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</si>
  <si>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</si>
  <si>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</si>
  <si>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</si>
  <si>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</si>
  <si>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</si>
  <si>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</si>
  <si>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</si>
  <si>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</si>
  <si>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</si>
  <si>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</si>
  <si>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</si>
  <si>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</si>
  <si>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</si>
  <si>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</si>
  <si>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</si>
  <si>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</si>
  <si>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</si>
  <si>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</si>
  <si>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</si>
  <si>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</si>
  <si>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</si>
  <si>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</si>
  <si>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</si>
  <si>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</si>
  <si>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</si>
  <si>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</si>
  <si>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</si>
  <si>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</si>
  <si>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</si>
  <si>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</si>
  <si>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</si>
  <si>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</si>
  <si>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</si>
  <si>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</si>
  <si>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</si>
  <si>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</si>
  <si>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</si>
  <si>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</si>
  <si>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</si>
  <si>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</si>
  <si>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</si>
  <si>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</si>
  <si>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</si>
  <si>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</si>
  <si>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</si>
  <si>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</si>
  <si>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</si>
  <si>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</si>
  <si>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</si>
  <si>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</si>
  <si>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</si>
  <si>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</si>
  <si>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</si>
  <si>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</si>
  <si>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</si>
  <si>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</si>
  <si>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</si>
  <si>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</si>
  <si>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</si>
  <si>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</si>
  <si>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</si>
  <si>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</si>
  <si>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</si>
  <si>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</si>
  <si>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</si>
  <si>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</si>
  <si>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</si>
  <si>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</si>
  <si>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</si>
  <si>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</si>
  <si>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</si>
  <si>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</si>
  <si>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</si>
  <si>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</si>
  <si>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</si>
  <si>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</si>
  <si>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</si>
  <si>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</si>
  <si>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</si>
  <si>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</si>
  <si>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</si>
  <si>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</si>
  <si>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</si>
  <si>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</si>
  <si>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</si>
  <si>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</si>
  <si>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</si>
  <si>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</si>
  <si>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</si>
  <si>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</si>
  <si>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</si>
  <si>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</si>
  <si>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</si>
  <si>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</si>
  <si>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</si>
  <si>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</si>
  <si>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</si>
  <si>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</si>
  <si>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</si>
  <si>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</si>
  <si>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</si>
  <si>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</si>
  <si>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</si>
  <si>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</si>
  <si>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</si>
  <si>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</si>
  <si>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</si>
  <si>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</si>
  <si>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</si>
  <si>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</si>
  <si>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</si>
  <si>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</si>
  <si>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</si>
  <si>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</si>
  <si>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</si>
  <si>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</si>
  <si>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</si>
  <si>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</si>
  <si>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</si>
  <si>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</si>
  <si>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</si>
  <si>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</si>
  <si>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</si>
  <si>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</si>
  <si>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</si>
  <si>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</si>
  <si>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</si>
  <si>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</si>
  <si>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</si>
  <si>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</si>
  <si>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</si>
  <si>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</si>
  <si>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</si>
  <si>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</si>
  <si>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</si>
  <si>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</si>
  <si>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</si>
  <si>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</si>
  <si>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</si>
  <si>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</si>
  <si>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</si>
  <si>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</si>
  <si>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</si>
  <si>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</si>
  <si>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</si>
  <si>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</si>
  <si>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</si>
  <si>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</si>
  <si>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</si>
  <si>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</si>
  <si>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</si>
  <si>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</si>
  <si>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</si>
  <si>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</si>
  <si>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</si>
  <si>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</si>
  <si>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</si>
  <si>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</si>
  <si>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</si>
  <si>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</si>
  <si>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</si>
  <si>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</si>
  <si>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</si>
  <si>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</si>
  <si>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</si>
  <si>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</si>
  <si>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</si>
  <si>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</si>
  <si>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</si>
  <si>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</si>
  <si>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</si>
  <si>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</si>
  <si>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</si>
  <si>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</si>
  <si>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</si>
  <si>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</si>
  <si>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</si>
  <si>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</si>
  <si>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</si>
  <si>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</si>
  <si>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</si>
  <si>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</si>
  <si>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</si>
  <si>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</si>
  <si>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</si>
  <si>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</si>
  <si>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</si>
  <si>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</si>
  <si>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</si>
  <si>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</si>
  <si>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</si>
  <si>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</si>
  <si>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</si>
  <si>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</si>
  <si>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</si>
  <si>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</si>
  <si>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</si>
  <si>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</si>
  <si>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</si>
  <si>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</si>
  <si>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</si>
  <si>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</si>
  <si>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</si>
  <si>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</si>
  <si>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</si>
  <si>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</si>
  <si>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</si>
  <si>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</si>
  <si>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</si>
  <si>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</si>
  <si>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</si>
  <si>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</si>
  <si>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</si>
  <si>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</si>
  <si>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</si>
  <si>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</si>
  <si>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</si>
  <si>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</si>
  <si>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</si>
  <si>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</si>
  <si>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</si>
  <si>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</si>
  <si>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</si>
  <si>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</si>
  <si>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</si>
  <si>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</si>
  <si>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</si>
  <si>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</si>
  <si>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</si>
  <si>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</si>
  <si>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</si>
  <si>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</si>
  <si>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</si>
  <si>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</si>
  <si>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</si>
  <si>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</si>
  <si>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</si>
  <si>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</si>
  <si>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</si>
  <si>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</si>
  <si>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</si>
  <si>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</si>
  <si>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</si>
  <si>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</si>
  <si>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</si>
  <si>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</si>
  <si>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</si>
  <si>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</si>
  <si>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</si>
  <si>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</si>
  <si>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</si>
  <si>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</si>
  <si>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</si>
  <si>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</si>
  <si>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</si>
  <si>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</si>
  <si>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</si>
  <si>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</si>
  <si>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</si>
  <si>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</si>
  <si>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</si>
  <si>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</si>
  <si>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</si>
  <si>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</si>
  <si>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</si>
  <si>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</si>
  <si>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</si>
  <si>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</si>
  <si>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</si>
  <si>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</si>
  <si>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</si>
  <si>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</si>
  <si>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</si>
  <si>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</si>
  <si>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</si>
  <si>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</si>
  <si>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</si>
  <si>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</si>
  <si>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</si>
  <si>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</si>
  <si>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</si>
  <si>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</si>
  <si>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</si>
  <si>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</si>
  <si>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</si>
  <si>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</si>
  <si>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</si>
  <si>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</si>
  <si>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</si>
  <si>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</si>
  <si>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</si>
  <si>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</si>
  <si>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</si>
  <si>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</si>
  <si>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</si>
  <si>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</si>
  <si>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</si>
  <si>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</si>
  <si>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</si>
  <si>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</si>
  <si>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</si>
  <si>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</si>
  <si>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</si>
  <si>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</si>
  <si>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</si>
  <si>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</si>
  <si>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</si>
  <si>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</si>
  <si>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</si>
  <si>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</si>
  <si>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</si>
  <si>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</si>
  <si>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</si>
  <si>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</si>
  <si>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</si>
  <si>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</si>
  <si>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</si>
  <si>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</si>
  <si>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</si>
  <si>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</si>
  <si>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</si>
  <si>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</si>
  <si>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</si>
  <si>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</si>
  <si>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</si>
  <si>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</si>
  <si>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</si>
  <si>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</si>
  <si>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</si>
  <si>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</si>
  <si>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</si>
  <si>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</si>
  <si>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</si>
  <si>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</si>
  <si>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</si>
  <si>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</si>
  <si>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</si>
  <si>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</si>
  <si>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</si>
  <si>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</si>
  <si>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</si>
  <si>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</si>
  <si>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</si>
  <si>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</si>
  <si>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</si>
  <si>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</si>
  <si>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</si>
  <si>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</si>
  <si>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</si>
  <si>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</si>
  <si>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</si>
  <si>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</si>
  <si>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</si>
  <si>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</si>
  <si>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</si>
  <si>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</si>
  <si>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</si>
  <si>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</si>
  <si>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</si>
  <si>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</si>
  <si>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</si>
  <si>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</si>
  <si>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</si>
  <si>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</si>
  <si>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</si>
  <si>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</si>
  <si>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</si>
  <si>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</si>
  <si>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</si>
  <si>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</si>
  <si>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</si>
  <si>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</si>
  <si>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</si>
  <si>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</si>
  <si>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</si>
  <si>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</si>
  <si>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</si>
  <si>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</si>
  <si>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</si>
  <si>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</si>
  <si>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</si>
  <si>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</si>
  <si>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</si>
  <si>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</si>
  <si>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</si>
  <si>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</si>
  <si>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</si>
  <si>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</si>
  <si>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</si>
  <si>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</si>
  <si>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</si>
  <si>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</si>
  <si>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</si>
  <si>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</si>
  <si>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</si>
  <si>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</si>
  <si>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</si>
  <si>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</si>
  <si>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</si>
  <si>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</si>
  <si>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</si>
  <si>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</si>
  <si>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</si>
  <si>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</si>
  <si>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</si>
  <si>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</si>
  <si>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</si>
  <si>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</si>
  <si>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</si>
  <si>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</si>
  <si>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</si>
  <si>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</si>
  <si>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</si>
  <si>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</si>
  <si>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</si>
  <si>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</si>
  <si>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</si>
  <si>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</si>
  <si>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</si>
  <si>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</si>
  <si>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</si>
  <si>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</si>
  <si>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</si>
  <si>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</si>
  <si>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</si>
  <si>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</si>
  <si>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</si>
  <si>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</si>
  <si>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</si>
  <si>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</si>
  <si>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</si>
  <si>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</si>
  <si>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</si>
  <si>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</si>
  <si>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</si>
  <si>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</si>
  <si>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</si>
  <si>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</si>
  <si>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</si>
  <si>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</si>
  <si>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</si>
  <si>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</si>
  <si>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</si>
  <si>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</si>
  <si>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</si>
  <si>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</si>
  <si>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</si>
  <si>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</si>
  <si>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</si>
  <si>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</si>
  <si>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</si>
  <si>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</si>
  <si>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</si>
  <si>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</si>
  <si>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</si>
  <si>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</si>
  <si>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</si>
  <si>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</si>
  <si>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</si>
  <si>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</si>
  <si>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</si>
  <si>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</si>
  <si>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</si>
  <si>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</si>
  <si>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</si>
  <si>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</si>
  <si>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</si>
  <si>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</si>
  <si>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</si>
  <si>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</si>
  <si>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</si>
  <si>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</si>
  <si>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</si>
  <si>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</si>
  <si>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</si>
  <si>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</si>
  <si>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</si>
  <si>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</si>
  <si>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</si>
  <si>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</si>
  <si>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</si>
  <si>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</si>
  <si>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</si>
  <si>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</si>
  <si>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</si>
  <si>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</si>
  <si>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</si>
  <si>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</si>
  <si>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</si>
  <si>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</si>
  <si>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</si>
  <si>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</si>
  <si>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</si>
  <si>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</si>
  <si>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</si>
  <si>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</si>
  <si>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</si>
  <si>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</si>
  <si>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</si>
  <si>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</si>
  <si>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</si>
  <si>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</si>
  <si>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</si>
  <si>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</si>
  <si>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</si>
  <si>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</si>
  <si>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</si>
  <si>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</si>
  <si>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</si>
  <si>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</si>
  <si>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</si>
  <si>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</si>
  <si>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</si>
  <si>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</si>
  <si>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</si>
  <si>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</si>
  <si>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</si>
  <si>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</si>
  <si>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</si>
  <si>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</si>
  <si>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</si>
  <si>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</si>
  <si>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</si>
  <si>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</si>
  <si>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</si>
  <si>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</si>
  <si>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</si>
  <si>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</si>
  <si>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</si>
  <si>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</si>
  <si>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</si>
  <si>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</si>
  <si>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</si>
  <si>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</si>
  <si>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</si>
  <si>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</si>
  <si>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</si>
  <si>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</si>
  <si>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</si>
  <si>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</si>
  <si>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</si>
  <si>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</si>
  <si>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</si>
  <si>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</si>
  <si>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</si>
  <si>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</si>
  <si>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</si>
  <si>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</si>
  <si>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</si>
  <si>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</si>
  <si>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</si>
  <si>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</si>
  <si>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</si>
  <si>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</si>
  <si>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</si>
  <si>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</si>
  <si>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</si>
  <si>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</si>
  <si>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</si>
  <si>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</si>
  <si>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</si>
  <si>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</si>
  <si>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</si>
  <si>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</si>
  <si>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</si>
  <si>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</si>
  <si>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</si>
  <si>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</si>
  <si>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</si>
  <si>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</si>
  <si>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</si>
  <si>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</si>
  <si>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</si>
  <si>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</si>
  <si>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</si>
  <si>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</si>
  <si>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</si>
  <si>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</si>
  <si>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</si>
  <si>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</si>
  <si>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</si>
  <si>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</si>
  <si>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</si>
  <si>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</si>
  <si>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</si>
  <si>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</si>
  <si>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</si>
  <si>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</si>
  <si>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</si>
  <si>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</si>
  <si>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</si>
  <si>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</si>
  <si>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</si>
  <si>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</si>
  <si>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</si>
  <si>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</si>
  <si>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</si>
  <si>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</si>
  <si>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</si>
  <si>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</si>
  <si>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</si>
  <si>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</si>
  <si>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</si>
  <si>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</si>
  <si>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</si>
  <si>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</si>
  <si>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</si>
  <si>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</si>
  <si>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</si>
  <si>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</si>
  <si>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</si>
  <si>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</si>
  <si>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</si>
  <si>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</si>
  <si>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</si>
  <si>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</si>
  <si>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</si>
  <si>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</si>
  <si>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</si>
  <si>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</si>
  <si>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</si>
  <si>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</si>
  <si>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</si>
  <si>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</si>
  <si>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</si>
  <si>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</si>
  <si>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</si>
  <si>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</si>
  <si>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</si>
  <si>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</si>
  <si>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</si>
  <si>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</si>
  <si>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</si>
  <si>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</si>
  <si>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</si>
  <si>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</si>
  <si>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</si>
  <si>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</si>
  <si>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</si>
  <si>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</si>
  <si>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</si>
  <si>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</si>
  <si>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</si>
  <si>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</si>
  <si>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</si>
  <si>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</si>
  <si>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</si>
  <si>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</si>
  <si>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</si>
  <si>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</si>
  <si>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</si>
  <si>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</si>
  <si>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</si>
  <si>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</si>
  <si>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</si>
  <si>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</si>
  <si>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</si>
  <si>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</si>
  <si>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</si>
  <si>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</si>
  <si>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</si>
  <si>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</si>
  <si>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</si>
  <si>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</si>
  <si>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</si>
  <si>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</si>
  <si>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</si>
  <si>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</si>
  <si>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</si>
  <si>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</si>
  <si>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</si>
  <si>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</si>
  <si>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</si>
  <si>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</si>
  <si>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</si>
  <si>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</si>
  <si>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</si>
  <si>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</si>
  <si>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</si>
  <si>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</si>
  <si>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</si>
  <si>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</si>
  <si>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</si>
  <si>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</si>
  <si>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</si>
  <si>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</si>
  <si>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</si>
  <si>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</si>
  <si>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</si>
  <si>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</si>
  <si>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</si>
  <si>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</si>
  <si>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</si>
  <si>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</si>
  <si>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</si>
  <si>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</si>
  <si>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</si>
  <si>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</si>
  <si>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</si>
  <si>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</si>
  <si>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</si>
  <si>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</si>
  <si>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</si>
  <si>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</si>
  <si>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</si>
  <si>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</si>
  <si>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</si>
  <si>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</si>
  <si>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</si>
  <si>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</si>
  <si>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</si>
  <si>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</si>
  <si>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</si>
  <si>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</si>
  <si>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</si>
  <si>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</si>
  <si>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</si>
  <si>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</si>
  <si>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</si>
  <si>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</si>
  <si>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</si>
  <si>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</si>
  <si>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</si>
  <si>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</si>
  <si>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</si>
  <si>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</si>
  <si>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</si>
  <si>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</si>
  <si>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</si>
  <si>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</si>
  <si>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</si>
  <si>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</si>
  <si>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</si>
  <si>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</si>
  <si>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</si>
  <si>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</si>
  <si>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</si>
  <si>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</si>
  <si>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</si>
  <si>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</si>
  <si>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</si>
  <si>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</si>
  <si>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</si>
  <si>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</si>
  <si>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</si>
  <si>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</si>
  <si>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</si>
  <si>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</si>
  <si>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</si>
  <si>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</si>
  <si>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</si>
  <si>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</si>
  <si>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</si>
  <si>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</si>
  <si>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</si>
  <si>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</si>
  <si>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</si>
  <si>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</si>
  <si>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</si>
  <si>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</si>
  <si>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</si>
  <si>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</si>
  <si>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</si>
  <si>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</si>
  <si>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</si>
  <si>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</si>
  <si>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</si>
  <si>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</si>
  <si>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</si>
  <si>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</si>
  <si>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</si>
  <si>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</si>
  <si>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</si>
  <si>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</si>
  <si>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</si>
  <si>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</si>
  <si>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</si>
  <si>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</si>
  <si>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</si>
  <si>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</si>
  <si>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</si>
  <si>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</si>
  <si>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</si>
  <si>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</si>
  <si>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</si>
  <si>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</si>
  <si>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</si>
  <si>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</si>
  <si>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</si>
  <si>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</si>
  <si>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</si>
  <si>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</si>
  <si>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</si>
  <si>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</si>
  <si>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</si>
  <si>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</si>
  <si>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</si>
  <si>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</si>
  <si>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</si>
  <si>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</si>
  <si>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</si>
  <si>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</si>
  <si>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</si>
  <si>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</si>
  <si>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</si>
  <si>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</si>
  <si>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</si>
  <si>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</si>
  <si>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</si>
  <si>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</si>
  <si>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</si>
  <si>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</si>
  <si>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</si>
  <si>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</si>
  <si>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</si>
  <si>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</si>
  <si>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</si>
  <si>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</si>
  <si>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</si>
  <si>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</si>
  <si>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</si>
  <si>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</si>
  <si>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</si>
  <si>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</si>
  <si>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</si>
  <si>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</si>
  <si>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</si>
  <si>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</si>
  <si>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</si>
  <si>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</si>
  <si>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</si>
  <si>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</si>
  <si>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</si>
  <si>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</si>
  <si>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</si>
  <si>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</si>
  <si>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</si>
  <si>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</si>
  <si>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</si>
  <si>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</si>
  <si>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</si>
  <si>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</si>
  <si>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</si>
  <si>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</si>
  <si>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</si>
  <si>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</si>
  <si>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</si>
  <si>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</si>
  <si>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</si>
  <si>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</si>
  <si>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</si>
  <si>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</si>
  <si>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</si>
  <si>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</si>
  <si>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</si>
  <si>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</si>
  <si>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</si>
  <si>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</si>
  <si>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</si>
  <si>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</si>
  <si>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</si>
  <si>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</si>
  <si>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</si>
  <si>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</si>
  <si>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</si>
  <si>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</si>
  <si>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</si>
  <si>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</si>
  <si>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</si>
  <si>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</si>
  <si>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</si>
  <si>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</si>
  <si>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</si>
  <si>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</si>
  <si>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</si>
  <si>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</si>
  <si>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</si>
  <si>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</si>
  <si>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</si>
  <si>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</si>
  <si>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</si>
  <si>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</si>
  <si>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</si>
  <si>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</si>
  <si>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</si>
  <si>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</si>
  <si>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</si>
  <si>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</si>
  <si>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</si>
  <si>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</si>
  <si>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</si>
  <si>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</si>
  <si>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</si>
  <si>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</si>
  <si>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</si>
  <si>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</si>
  <si>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</si>
  <si>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</si>
  <si>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</si>
  <si>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</si>
  <si>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</si>
  <si>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</si>
  <si>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</si>
  <si>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</si>
  <si>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</si>
  <si>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</si>
  <si>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</si>
  <si>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</si>
  <si>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</si>
  <si>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</si>
  <si>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</si>
  <si>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</si>
  <si>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</si>
  <si>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</si>
  <si>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</si>
  <si>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</si>
  <si>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</si>
  <si>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</si>
  <si>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</si>
  <si>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</si>
  <si>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</si>
  <si>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</si>
  <si>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</si>
  <si>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</si>
  <si>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</si>
  <si>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</si>
  <si>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</si>
  <si>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</si>
  <si>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</si>
  <si>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</si>
  <si>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</si>
  <si>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</si>
  <si>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</si>
  <si>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</si>
  <si>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</si>
  <si>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</si>
  <si>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</si>
  <si>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</si>
  <si>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</si>
  <si>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</si>
  <si>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</si>
  <si>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</si>
  <si>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</si>
  <si>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</si>
  <si>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</si>
  <si>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</si>
  <si>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</si>
  <si>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</si>
  <si>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</si>
  <si>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</si>
  <si>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</si>
  <si>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</si>
  <si>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</si>
  <si>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</si>
  <si>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</si>
  <si>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</si>
  <si>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</si>
  <si>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</si>
  <si>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</si>
  <si>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</si>
  <si>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</si>
  <si>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</si>
  <si>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</si>
  <si>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</si>
  <si>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</si>
  <si>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</si>
  <si>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</si>
  <si>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</si>
  <si>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</si>
  <si>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</si>
  <si>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</si>
  <si>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</si>
  <si>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</si>
  <si>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</si>
  <si>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</si>
  <si>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</si>
  <si>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</si>
  <si>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</si>
  <si>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</si>
  <si>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</si>
  <si>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</si>
  <si>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</si>
  <si>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</si>
  <si>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</si>
  <si>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</si>
  <si>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</si>
  <si>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</si>
  <si>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</si>
  <si>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</si>
  <si>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</si>
  <si>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</si>
  <si>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</si>
  <si>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</si>
  <si>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</si>
  <si>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</si>
  <si>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</si>
  <si>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</si>
  <si>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</si>
  <si>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</si>
  <si>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</si>
  <si>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</si>
  <si>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</si>
  <si>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</si>
  <si>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</si>
  <si>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</si>
  <si>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</si>
  <si>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</si>
  <si>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</si>
  <si>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</si>
  <si>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</si>
  <si>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</si>
  <si>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</si>
  <si>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</si>
  <si>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</si>
  <si>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</si>
  <si>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</si>
  <si>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</si>
  <si>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</si>
  <si>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</si>
  <si>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</si>
  <si>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</si>
  <si>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</si>
  <si>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</si>
  <si>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</si>
  <si>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</si>
  <si>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</si>
  <si>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</si>
  <si>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</si>
  <si>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</si>
  <si>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</si>
  <si>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</si>
  <si>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</si>
  <si>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</si>
  <si>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</si>
  <si>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</si>
  <si>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</si>
  <si>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</si>
  <si>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</si>
  <si>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</si>
  <si>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</si>
  <si>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</si>
  <si>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</si>
  <si>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</si>
  <si>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</si>
  <si>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</si>
  <si>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</si>
  <si>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</si>
  <si>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</si>
  <si>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</si>
  <si>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</si>
  <si>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</si>
  <si>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</si>
  <si>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</si>
  <si>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</si>
  <si>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</si>
  <si>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</si>
  <si>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</si>
  <si>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</si>
  <si>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</si>
  <si>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</si>
  <si>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</si>
  <si>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</si>
  <si>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</si>
  <si>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</si>
  <si>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</si>
  <si>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</si>
  <si>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</si>
  <si>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</si>
  <si>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</si>
  <si>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</si>
  <si>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</si>
  <si>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</si>
  <si>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</si>
  <si>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</si>
  <si>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</si>
  <si>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</si>
  <si>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</si>
  <si>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</si>
  <si>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</si>
  <si>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</si>
  <si>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</si>
  <si>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</si>
  <si>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</si>
  <si>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</si>
  <si>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</si>
  <si>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</si>
  <si>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</si>
  <si>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</si>
  <si>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</si>
  <si>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</si>
  <si>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</si>
  <si>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</si>
  <si>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</si>
  <si>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</si>
  <si>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</si>
  <si>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</si>
  <si>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</si>
  <si>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</si>
  <si>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</si>
  <si>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</si>
  <si>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</si>
  <si>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</si>
  <si>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</si>
  <si>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</si>
  <si>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</si>
  <si>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</si>
  <si>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</si>
  <si>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</si>
  <si>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</si>
  <si>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</si>
  <si>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</si>
  <si>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</si>
  <si>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</si>
  <si>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</si>
  <si>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</si>
  <si>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</si>
  <si>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</si>
  <si>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</si>
  <si>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</si>
  <si>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</si>
  <si>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</si>
  <si>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</si>
  <si>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</si>
  <si>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</si>
  <si>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</si>
  <si>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</si>
  <si>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</si>
  <si>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</si>
  <si>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</si>
  <si>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</si>
  <si>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</si>
  <si>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</si>
  <si>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</si>
  <si>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</si>
  <si>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</si>
  <si>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</si>
  <si>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</si>
  <si>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</si>
  <si>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</si>
  <si>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</si>
  <si>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</si>
  <si>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</si>
  <si>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</si>
  <si>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</si>
  <si>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</si>
  <si>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</si>
  <si>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</si>
  <si>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</si>
  <si>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</si>
  <si>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</si>
  <si>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</si>
  <si>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</si>
  <si>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</si>
  <si>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</si>
  <si>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</si>
  <si>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</si>
  <si>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</si>
  <si>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</si>
  <si>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</si>
  <si>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</si>
  <si>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</si>
  <si>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</si>
  <si>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</si>
  <si>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</si>
  <si>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</si>
  <si>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</si>
  <si>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</si>
  <si>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</si>
  <si>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</si>
  <si>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</si>
  <si>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</si>
  <si>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</si>
  <si>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</si>
  <si>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</si>
  <si>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</si>
  <si>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</si>
  <si>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</si>
  <si>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</si>
  <si>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</si>
  <si>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</si>
  <si>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</si>
  <si>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</si>
  <si>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</si>
  <si>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</si>
  <si>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</si>
  <si>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</si>
  <si>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</si>
  <si>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</si>
  <si>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</si>
  <si>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</si>
  <si>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</si>
  <si>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</si>
  <si>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</si>
  <si>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</si>
  <si>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</si>
  <si>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</si>
  <si>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</si>
  <si>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</si>
  <si>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</si>
  <si>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</si>
  <si>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</si>
  <si>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</si>
  <si>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</si>
  <si>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</si>
  <si>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</si>
  <si>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</si>
  <si>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</si>
  <si>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</si>
  <si>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</si>
  <si>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</si>
  <si>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</si>
  <si>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</si>
  <si>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</si>
  <si>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</si>
  <si>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</si>
  <si>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</si>
  <si>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</si>
  <si>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</si>
  <si>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</si>
  <si>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</si>
  <si>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</si>
  <si>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</si>
  <si>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</si>
  <si>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</si>
  <si>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</si>
  <si>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</si>
  <si>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</si>
  <si>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</si>
  <si>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</si>
  <si>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</si>
  <si>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</si>
  <si>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</si>
  <si>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</si>
  <si>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</si>
  <si>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</si>
  <si>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</si>
  <si>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</si>
  <si>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</si>
  <si>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</si>
  <si>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</si>
  <si>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</si>
  <si>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</si>
  <si>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</si>
  <si>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</si>
  <si>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</si>
  <si>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</si>
  <si>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</si>
  <si>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</si>
  <si>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</si>
  <si>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</si>
  <si>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</si>
  <si>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</si>
  <si>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</si>
  <si>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</si>
  <si>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</si>
  <si>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</si>
  <si>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</si>
  <si>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</si>
  <si>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</si>
  <si>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</si>
  <si>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</si>
  <si>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</si>
  <si>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</si>
  <si>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</si>
  <si>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</si>
  <si>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</si>
  <si>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</si>
  <si>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</si>
  <si>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</si>
  <si>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</si>
  <si>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</si>
  <si>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</si>
  <si>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</si>
  <si>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</si>
  <si>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</si>
  <si>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</si>
  <si>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</si>
  <si>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</si>
  <si>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</si>
  <si>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</si>
  <si>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</si>
  <si>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</si>
  <si>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</si>
  <si>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</si>
  <si>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</si>
  <si>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</si>
  <si>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</si>
  <si>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</si>
  <si>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</si>
  <si>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</si>
  <si>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</si>
  <si>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</si>
  <si>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</si>
  <si>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</si>
  <si>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</si>
  <si>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</si>
  <si>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</si>
  <si>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</si>
  <si>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</si>
  <si>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</si>
  <si>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</si>
  <si>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</si>
  <si>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</si>
  <si>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</si>
  <si>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</si>
  <si>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</si>
  <si>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</si>
  <si>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</si>
  <si>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</si>
  <si>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</si>
  <si>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</si>
  <si>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</si>
  <si>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</si>
  <si>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</si>
  <si>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</si>
  <si>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</si>
  <si>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</si>
  <si>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</si>
  <si>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</si>
  <si>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</si>
  <si>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</si>
  <si>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</si>
  <si>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</si>
  <si>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</si>
  <si>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</si>
  <si>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</si>
  <si>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</si>
  <si>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</si>
  <si>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</si>
  <si>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</si>
  <si>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</si>
  <si>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</si>
  <si>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</si>
  <si>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</si>
  <si>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</si>
  <si>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</si>
  <si>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</si>
  <si>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</si>
  <si>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</si>
  <si>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</si>
  <si>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</si>
  <si>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</si>
  <si>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</si>
  <si>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</si>
  <si>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</si>
  <si>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</si>
  <si>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</si>
  <si>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</si>
  <si>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</si>
  <si>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</si>
  <si>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</si>
  <si>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</si>
  <si>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</si>
  <si>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</si>
  <si>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</si>
  <si>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</si>
  <si>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</si>
  <si>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</si>
  <si>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</si>
  <si>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</si>
  <si>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</si>
  <si>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</si>
  <si>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</si>
  <si>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</si>
  <si>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</si>
  <si>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</si>
  <si>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</si>
  <si>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</si>
  <si>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</si>
  <si>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</si>
  <si>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</si>
  <si>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</si>
  <si>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</si>
  <si>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</si>
  <si>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</si>
  <si>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</si>
  <si>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</si>
  <si>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</si>
  <si>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</si>
  <si>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</si>
  <si>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</si>
  <si>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</si>
  <si>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</si>
  <si>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</si>
  <si>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</si>
  <si>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</si>
  <si>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</si>
  <si>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</si>
  <si>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</si>
  <si>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</si>
  <si>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</si>
  <si>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</si>
  <si>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</si>
  <si>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</si>
  <si>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</si>
  <si>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</si>
  <si>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</si>
  <si>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</si>
  <si>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</si>
  <si>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</si>
  <si>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</si>
  <si>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</si>
  <si>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</si>
  <si>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</si>
  <si>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</si>
  <si>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</si>
  <si>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</si>
  <si>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</si>
  <si>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</si>
  <si>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</si>
  <si>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</si>
  <si>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</si>
  <si>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</si>
  <si>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</si>
  <si>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</si>
  <si>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</si>
  <si>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</si>
  <si>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</si>
  <si>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</si>
  <si>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</si>
  <si>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</si>
  <si>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</si>
  <si>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</si>
  <si>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</si>
  <si>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</si>
  <si>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</si>
  <si>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</si>
  <si>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</si>
  <si>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</si>
  <si>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</si>
  <si>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</si>
  <si>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</si>
  <si>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</si>
  <si>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</si>
  <si>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</si>
  <si>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</si>
  <si>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</si>
  <si>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</si>
  <si>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</si>
  <si>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</si>
  <si>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</si>
  <si>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</si>
  <si>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</si>
  <si>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</si>
  <si>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</si>
  <si>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</si>
  <si>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</si>
  <si>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</si>
  <si>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</si>
  <si>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</si>
  <si>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</si>
  <si>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</si>
  <si>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</si>
  <si>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</si>
  <si>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</si>
  <si>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</si>
  <si>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</si>
  <si>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</si>
  <si>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</si>
  <si>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</si>
  <si>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</si>
  <si>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</si>
  <si>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</si>
  <si>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</si>
  <si>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</si>
  <si>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</si>
  <si>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</si>
  <si>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</si>
  <si>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</si>
  <si>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</si>
  <si>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</si>
  <si>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</si>
  <si>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</si>
  <si>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</si>
  <si>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</si>
  <si>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</si>
  <si>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</si>
  <si>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</si>
  <si>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</si>
  <si>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</si>
  <si>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</si>
  <si>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</si>
  <si>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</si>
  <si>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</si>
  <si>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</si>
  <si>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</si>
  <si>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</si>
  <si>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</si>
  <si>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</si>
  <si>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</si>
  <si>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</si>
  <si>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</si>
  <si>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</si>
  <si>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</si>
  <si>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</si>
  <si>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</si>
  <si>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</si>
  <si>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</si>
  <si>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</si>
  <si>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</si>
  <si>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</si>
  <si>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</si>
  <si>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</si>
  <si>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</si>
  <si>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</si>
  <si>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</si>
  <si>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</si>
  <si>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</si>
  <si>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</si>
  <si>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</si>
  <si>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</si>
  <si>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</si>
  <si>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</si>
  <si>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</si>
  <si>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</si>
  <si>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</si>
  <si>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</si>
  <si>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</si>
  <si>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</si>
  <si>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</si>
  <si>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</si>
  <si>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</si>
  <si>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</si>
  <si>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</si>
  <si>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</si>
  <si>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</si>
  <si>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</si>
  <si>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</si>
  <si>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</si>
  <si>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</si>
  <si>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</si>
  <si>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</si>
  <si>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</si>
  <si>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</si>
  <si>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</si>
  <si>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</si>
  <si>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</si>
  <si>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</si>
  <si>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</si>
  <si>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</si>
  <si>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</si>
  <si>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</si>
  <si>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</si>
  <si>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</si>
  <si>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</si>
  <si>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</si>
  <si>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</si>
  <si>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</si>
  <si>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</si>
  <si>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</si>
  <si>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</si>
  <si>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</si>
  <si>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</si>
  <si>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</si>
  <si>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</si>
  <si>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</si>
  <si>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</si>
  <si>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</si>
  <si>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</si>
  <si>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</si>
  <si>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</si>
  <si>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</si>
  <si>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</si>
  <si>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</si>
  <si>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</si>
  <si>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</si>
  <si>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</si>
  <si>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</si>
  <si>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</si>
  <si>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</si>
  <si>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</si>
  <si>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</si>
  <si>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</si>
  <si>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</si>
  <si>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</si>
  <si>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</si>
  <si>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</si>
  <si>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</si>
  <si>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</si>
  <si>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</si>
  <si>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</si>
  <si>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</si>
  <si>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</si>
  <si>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</si>
  <si>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</si>
  <si>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</si>
  <si>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</si>
  <si>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</si>
  <si>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</si>
  <si>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</si>
  <si>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</si>
  <si>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</si>
  <si>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</si>
  <si>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</si>
  <si>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</si>
  <si>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</si>
  <si>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</si>
  <si>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</si>
  <si>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</si>
  <si>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</si>
  <si>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</si>
  <si>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</si>
  <si>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</si>
  <si>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</si>
  <si>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</si>
  <si>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</si>
  <si>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</si>
  <si>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</si>
  <si>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</si>
  <si>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</si>
  <si>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</si>
  <si>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</si>
  <si>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</si>
  <si>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</si>
  <si>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</si>
  <si>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</si>
  <si>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</si>
  <si>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</si>
  <si>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</si>
  <si>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</si>
  <si>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</si>
  <si>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</si>
  <si>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</si>
  <si>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</si>
  <si>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</si>
  <si>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</si>
  <si>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</si>
  <si>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</si>
  <si>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</si>
  <si>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</si>
  <si>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</si>
  <si>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</si>
  <si>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</si>
  <si>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</si>
  <si>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</si>
  <si>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</si>
  <si>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</si>
  <si>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</si>
  <si>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</si>
  <si>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</si>
  <si>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</si>
  <si>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</si>
  <si>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</si>
  <si>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</si>
  <si>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</si>
  <si>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</si>
  <si>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</si>
  <si>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</si>
  <si>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</si>
  <si>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</si>
  <si>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</si>
  <si>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</si>
  <si>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</si>
  <si>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</si>
  <si>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</si>
  <si>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</si>
  <si>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</si>
  <si>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</si>
  <si>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</si>
  <si>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</si>
  <si>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</si>
  <si>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</si>
  <si>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</si>
  <si>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</si>
  <si>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</si>
  <si>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</si>
  <si>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</si>
  <si>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</si>
  <si>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</si>
  <si>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</si>
  <si>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</si>
  <si>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</si>
  <si>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</si>
  <si>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</si>
  <si>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</si>
  <si>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</si>
  <si>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</si>
  <si>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</si>
  <si>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</si>
  <si>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</si>
  <si>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</si>
  <si>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</si>
  <si>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</si>
  <si>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</si>
  <si>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</si>
  <si>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</si>
  <si>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</si>
  <si>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</si>
  <si>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</si>
  <si>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</si>
  <si>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</si>
  <si>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</si>
  <si>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</si>
  <si>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</si>
  <si>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</si>
  <si>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</si>
  <si>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</si>
  <si>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</si>
  <si>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</si>
  <si>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</si>
  <si>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</si>
  <si>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</si>
  <si>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</si>
  <si>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</si>
  <si>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</si>
  <si>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</si>
  <si>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</si>
  <si>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</si>
  <si>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</si>
  <si>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</si>
  <si>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</si>
  <si>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</si>
  <si>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</si>
  <si>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</si>
  <si>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</si>
  <si>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</si>
  <si>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</si>
  <si>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</si>
  <si>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</si>
  <si>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</si>
  <si>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</si>
  <si>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</si>
  <si>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</si>
  <si>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</si>
  <si>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</si>
  <si>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</si>
  <si>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</si>
  <si>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</si>
  <si>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</si>
  <si>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</si>
  <si>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</si>
  <si>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</si>
  <si>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</si>
  <si>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</si>
  <si>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</si>
  <si>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</si>
  <si>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</si>
  <si>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</si>
  <si>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</si>
  <si>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</si>
  <si>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</si>
  <si>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</si>
  <si>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</si>
  <si>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</si>
  <si>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</si>
  <si>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</si>
  <si>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</si>
  <si>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</si>
  <si>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</si>
  <si>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</si>
  <si>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</si>
  <si>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</si>
  <si>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</si>
  <si>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</si>
  <si>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</si>
  <si>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</si>
  <si>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</si>
  <si>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</si>
  <si>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</si>
  <si>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</si>
  <si>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</si>
  <si>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</si>
  <si>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</si>
  <si>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</si>
  <si>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</si>
  <si>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</si>
  <si>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</si>
  <si>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</si>
  <si>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</si>
  <si>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</si>
  <si>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</si>
  <si>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</si>
  <si>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</si>
  <si>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</si>
  <si>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</si>
  <si>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</si>
  <si>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</si>
  <si>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</si>
  <si>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</si>
  <si>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</si>
  <si>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</si>
  <si>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</si>
  <si>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</si>
  <si>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</si>
  <si>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</si>
  <si>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</si>
  <si>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</si>
  <si>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</si>
  <si>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</si>
  <si>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</si>
  <si>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</si>
  <si>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</si>
  <si>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</si>
  <si>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</si>
  <si>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</si>
  <si>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</si>
  <si>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</si>
  <si>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</si>
  <si>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</si>
  <si>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</si>
  <si>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</si>
  <si>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</si>
  <si>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</si>
  <si>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</si>
  <si>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</si>
  <si>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</si>
  <si>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</si>
  <si>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</si>
  <si>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</si>
  <si>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</si>
  <si>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</si>
  <si>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</si>
  <si>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</si>
  <si>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</si>
  <si>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</si>
  <si>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</si>
  <si>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</si>
  <si>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</si>
  <si>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</si>
  <si>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</si>
  <si>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</si>
  <si>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</si>
  <si>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</si>
  <si>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</si>
  <si>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</si>
  <si>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</si>
  <si>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</si>
  <si>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</si>
  <si>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</si>
  <si>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</si>
  <si>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</si>
  <si>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</si>
  <si>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</si>
  <si>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</si>
  <si>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</si>
  <si>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</si>
  <si>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</si>
  <si>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</si>
  <si>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</si>
  <si>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</si>
  <si>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</si>
  <si>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</si>
  <si>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</si>
  <si>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</si>
  <si>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</si>
  <si>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</si>
  <si>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</si>
  <si>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</si>
  <si>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</si>
  <si>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</si>
  <si>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</si>
  <si>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</si>
  <si>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</si>
  <si>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</si>
  <si>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</si>
  <si>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</si>
  <si>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</si>
  <si>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</si>
  <si>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</si>
  <si>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</si>
  <si>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</si>
  <si>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</si>
  <si>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</si>
  <si>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</si>
  <si>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</si>
  <si>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</si>
  <si>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</si>
  <si>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</si>
  <si>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</si>
  <si>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</si>
  <si>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</si>
  <si>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</si>
  <si>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</si>
  <si>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</si>
  <si>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</si>
  <si>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</si>
  <si>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</si>
  <si>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</si>
  <si>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</si>
  <si>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</si>
  <si>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</si>
  <si>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</si>
  <si>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</si>
  <si>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</si>
  <si>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</si>
  <si>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</si>
  <si>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</si>
  <si>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</si>
  <si>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</si>
  <si>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</si>
  <si>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</si>
  <si>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</si>
  <si>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</si>
  <si>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</si>
  <si>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</si>
  <si>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</si>
  <si>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</si>
  <si>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</si>
  <si>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</si>
  <si>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</si>
  <si>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</si>
  <si>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</si>
  <si>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</si>
  <si>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</si>
  <si>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</si>
  <si>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</si>
  <si>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</si>
  <si>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</si>
  <si>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</si>
  <si>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</si>
  <si>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</si>
  <si>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</si>
  <si>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</si>
  <si>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</si>
  <si>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</si>
  <si>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</si>
  <si>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</si>
  <si>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</si>
  <si>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</si>
  <si>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</si>
  <si>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</si>
  <si>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</si>
  <si>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</si>
  <si>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</si>
  <si>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</si>
  <si>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</si>
  <si>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</si>
  <si>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</si>
  <si>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</si>
  <si>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</si>
  <si>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</si>
  <si>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</si>
  <si>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</si>
  <si>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</si>
  <si>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</si>
  <si>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</si>
  <si>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</si>
  <si>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</si>
  <si>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</si>
  <si>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</si>
  <si>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</si>
  <si>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</si>
  <si>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</si>
  <si>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</si>
  <si>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</si>
  <si>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</si>
  <si>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</si>
  <si>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</si>
  <si>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</si>
  <si>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</si>
  <si>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</si>
  <si>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</si>
  <si>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</si>
  <si>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</si>
  <si>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</si>
  <si>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</si>
  <si>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</si>
  <si>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</si>
  <si>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</si>
  <si>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</si>
  <si>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</si>
  <si>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</si>
  <si>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</si>
  <si>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</si>
  <si>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</si>
  <si>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</si>
  <si>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</si>
  <si>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</si>
  <si>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</si>
  <si>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</si>
  <si>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</si>
  <si>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</si>
  <si>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</si>
  <si>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</si>
  <si>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</si>
  <si>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</si>
  <si>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</si>
  <si>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</si>
  <si>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</si>
  <si>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</si>
  <si>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</si>
  <si>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</si>
  <si>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</si>
  <si>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</si>
  <si>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</si>
  <si>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</si>
  <si>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</si>
  <si>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</si>
  <si>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</si>
  <si>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</si>
  <si>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</si>
  <si>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</si>
  <si>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</si>
  <si>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</si>
  <si>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</si>
  <si>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</si>
  <si>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</si>
  <si>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</si>
  <si>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</si>
  <si>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</si>
  <si>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</si>
  <si>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</si>
  <si>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</si>
  <si>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</si>
  <si>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</si>
  <si>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</si>
  <si>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</si>
  <si>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</si>
  <si>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</si>
  <si>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</si>
  <si>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</si>
  <si>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</si>
  <si>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</si>
  <si>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</si>
  <si>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</si>
  <si>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</si>
  <si>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</si>
  <si>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</si>
  <si>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</si>
  <si>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</si>
  <si>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</si>
  <si>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</si>
  <si>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</si>
  <si>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</si>
  <si>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</si>
  <si>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</si>
  <si>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</si>
  <si>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</si>
  <si>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</si>
  <si>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</si>
  <si>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</si>
  <si>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</si>
  <si>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</si>
  <si>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</si>
  <si>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</si>
  <si>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</si>
  <si>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</si>
  <si>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</si>
  <si>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</si>
  <si>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</si>
  <si>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</si>
  <si>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</si>
  <si>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</si>
  <si>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</si>
  <si>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</si>
  <si>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</si>
  <si>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</si>
  <si>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</si>
  <si>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</si>
  <si>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</si>
  <si>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</si>
  <si>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</si>
  <si>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</si>
  <si>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</si>
  <si>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</si>
  <si>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</si>
  <si>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</si>
  <si>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</si>
  <si>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</si>
  <si>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</si>
  <si>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</si>
  <si>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</si>
  <si>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</si>
  <si>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</si>
  <si>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</si>
  <si>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</si>
  <si>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</si>
  <si>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</si>
  <si>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</si>
  <si>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</si>
  <si>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</si>
  <si>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</si>
  <si>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</si>
  <si>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</si>
  <si>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</si>
  <si>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</si>
  <si>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</si>
  <si>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</si>
  <si>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</si>
  <si>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</si>
  <si>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</si>
  <si>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</si>
  <si>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</si>
  <si>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</si>
  <si>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</si>
  <si>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</si>
  <si>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</si>
  <si>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</si>
  <si>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</si>
  <si>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</si>
  <si>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</si>
  <si>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</si>
  <si>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</si>
  <si>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</si>
  <si>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</si>
  <si>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</si>
  <si>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</si>
  <si>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</si>
  <si>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</si>
  <si>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</si>
  <si>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</si>
  <si>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</si>
  <si>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</si>
  <si>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</si>
  <si>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</si>
  <si>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</si>
  <si>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</si>
  <si>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</si>
  <si>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</si>
  <si>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</si>
  <si>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</si>
  <si>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</si>
  <si>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</si>
  <si>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</si>
  <si>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</si>
  <si>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</si>
  <si>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</si>
  <si>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</si>
  <si>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</si>
  <si>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</si>
  <si>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</si>
  <si>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</si>
  <si>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</si>
  <si>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</si>
  <si>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</si>
  <si>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</si>
  <si>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</si>
  <si>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</si>
  <si>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</si>
  <si>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</si>
  <si>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</si>
  <si>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</si>
  <si>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</si>
  <si>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</si>
  <si>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</si>
  <si>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</si>
  <si>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</si>
  <si>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</si>
  <si>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</si>
  <si>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</si>
  <si>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</si>
  <si>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</si>
  <si>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</si>
  <si>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</si>
  <si>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</si>
  <si>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</si>
  <si>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</si>
  <si>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</si>
  <si>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</si>
  <si>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</si>
  <si>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</si>
  <si>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</si>
  <si>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</si>
  <si>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</si>
  <si>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</si>
  <si>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</si>
  <si>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</si>
  <si>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</si>
  <si>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</si>
  <si>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</si>
  <si>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</si>
  <si>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</si>
  <si>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</si>
  <si>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</si>
  <si>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</si>
  <si>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</si>
  <si>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</si>
  <si>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</si>
  <si>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</si>
  <si>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</si>
  <si>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</si>
  <si>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</si>
  <si>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</si>
  <si>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</si>
  <si>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</si>
  <si>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</si>
  <si>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</si>
  <si>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</si>
  <si>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</si>
  <si>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</si>
  <si>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</si>
  <si>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</si>
  <si>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</si>
  <si>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</si>
  <si>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</si>
  <si>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</si>
  <si>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</si>
  <si>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</si>
  <si>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</si>
  <si>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</si>
  <si>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</si>
  <si>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</si>
  <si>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</si>
  <si>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</si>
  <si>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</si>
  <si>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</si>
  <si>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</si>
  <si>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</si>
  <si>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</si>
  <si>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</si>
  <si>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</si>
  <si>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</si>
  <si>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</si>
  <si>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</si>
  <si>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</si>
  <si>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</si>
  <si>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</si>
  <si>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</si>
  <si>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</si>
  <si>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</si>
  <si>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</si>
  <si>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</si>
  <si>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</si>
  <si>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</si>
  <si>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</si>
  <si>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</si>
  <si>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</si>
  <si>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</si>
  <si>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</si>
  <si>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</si>
  <si>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</si>
  <si>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</si>
  <si>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</si>
  <si>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</si>
  <si>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</si>
  <si>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</si>
  <si>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</si>
  <si>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</si>
  <si>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</si>
  <si>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</si>
  <si>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</si>
  <si>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</si>
  <si>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</si>
  <si>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</si>
  <si>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</si>
  <si>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</si>
  <si>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</si>
  <si>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</si>
  <si>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</si>
  <si>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</si>
  <si>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</si>
  <si>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</si>
  <si>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</si>
  <si>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</si>
  <si>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</si>
  <si>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</si>
  <si>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</si>
  <si>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</si>
  <si>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</si>
  <si>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</si>
  <si>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</si>
  <si>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</si>
  <si>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</si>
  <si>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</si>
  <si>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</si>
  <si>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</si>
  <si>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</si>
  <si>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</si>
  <si>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</si>
  <si>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</si>
  <si>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</si>
  <si>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</si>
  <si>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</si>
  <si>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</si>
  <si>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</si>
  <si>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</si>
  <si>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</si>
  <si>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</si>
  <si>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</si>
  <si>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</si>
  <si>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</si>
  <si>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</si>
  <si>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</si>
  <si>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</si>
  <si>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</si>
  <si>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</si>
  <si>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</si>
  <si>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</si>
  <si>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</si>
  <si>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</si>
  <si>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</si>
  <si>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</si>
  <si>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</si>
  <si>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</si>
  <si>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</si>
  <si>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</si>
  <si>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</si>
  <si>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</si>
  <si>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</si>
  <si>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</si>
  <si>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</si>
  <si>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</si>
  <si>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</si>
  <si>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</si>
  <si>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</si>
  <si>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</si>
  <si>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</si>
  <si>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</si>
  <si>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</si>
  <si>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</si>
  <si>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</si>
  <si>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</si>
  <si>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</si>
  <si>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</si>
  <si>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</si>
  <si>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</si>
  <si>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</si>
  <si>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</si>
  <si>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</si>
  <si>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</si>
  <si>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</si>
  <si>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</si>
  <si>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</si>
  <si>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</si>
  <si>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</si>
  <si>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</si>
  <si>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</si>
  <si>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</si>
  <si>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</si>
  <si>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</si>
  <si>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</si>
  <si>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</si>
  <si>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</si>
  <si>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</si>
  <si>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</si>
  <si>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</si>
  <si>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</si>
  <si>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</si>
  <si>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</si>
  <si>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</si>
  <si>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</si>
  <si>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</si>
  <si>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</si>
  <si>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</si>
  <si>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</si>
  <si>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</si>
  <si>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</si>
  <si>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</si>
  <si>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</si>
  <si>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</si>
  <si>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</si>
  <si>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</si>
  <si>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</si>
  <si>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</si>
  <si>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</si>
  <si>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</si>
  <si>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</si>
  <si>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</si>
  <si>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</si>
  <si>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</si>
  <si>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</si>
  <si>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</si>
  <si>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</si>
  <si>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</si>
  <si>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</si>
  <si>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</si>
  <si>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</si>
  <si>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</si>
  <si>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</si>
  <si>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</si>
  <si>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</si>
  <si>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</si>
  <si>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</si>
  <si>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</si>
  <si>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</si>
  <si>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</si>
  <si>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</si>
  <si>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</si>
  <si>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</si>
  <si>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</si>
  <si>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</si>
  <si>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</si>
  <si>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</si>
  <si>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</si>
  <si>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</si>
  <si>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</si>
  <si>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</si>
  <si>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</si>
  <si>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</si>
  <si>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</si>
  <si>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</si>
  <si>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</si>
  <si>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</si>
  <si>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</si>
  <si>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</si>
  <si>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</si>
  <si>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</si>
  <si>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</si>
  <si>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</si>
  <si>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</si>
  <si>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</si>
  <si>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</si>
  <si>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</si>
  <si>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</si>
  <si>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</si>
  <si>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</si>
  <si>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</si>
  <si>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</si>
  <si>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</si>
  <si>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</si>
  <si>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</si>
  <si>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</si>
  <si>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</si>
  <si>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</si>
  <si>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</si>
  <si>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</si>
  <si>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</si>
  <si>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</si>
  <si>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</si>
  <si>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</si>
  <si>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</si>
  <si>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</si>
  <si>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</si>
  <si>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</si>
  <si>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</si>
  <si>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</si>
  <si>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</si>
  <si>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</si>
  <si>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</si>
  <si>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</si>
  <si>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</si>
  <si>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</si>
  <si>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</si>
  <si>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</si>
  <si>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</si>
  <si>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</si>
  <si>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</si>
  <si>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</si>
  <si>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</si>
  <si>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</si>
  <si>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</si>
  <si>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</si>
  <si>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</si>
  <si>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</si>
  <si>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</si>
  <si>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</si>
  <si>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</si>
  <si>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</si>
  <si>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</si>
  <si>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</si>
  <si>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</si>
  <si>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</si>
  <si>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</si>
  <si>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</si>
  <si>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</si>
  <si>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</si>
  <si>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</si>
  <si>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</si>
  <si>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</si>
  <si>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</si>
  <si>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</si>
  <si>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</si>
  <si>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</si>
  <si>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</si>
  <si>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</si>
  <si>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</si>
  <si>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</si>
  <si>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</si>
  <si>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</si>
  <si>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</si>
  <si>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</si>
  <si>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</si>
  <si>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</si>
  <si>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</si>
  <si>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</si>
  <si>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</si>
  <si>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</si>
  <si>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</si>
  <si>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</si>
  <si>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</si>
  <si>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</si>
  <si>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</si>
  <si>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</si>
  <si>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</si>
  <si>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</si>
  <si>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</si>
  <si>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</si>
  <si>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</si>
  <si>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</si>
  <si>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</si>
  <si>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</si>
  <si>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</si>
  <si>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</si>
  <si>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</si>
  <si>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</si>
  <si>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</si>
  <si>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</si>
  <si>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</si>
  <si>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</si>
  <si>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</si>
  <si>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</si>
  <si>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</si>
  <si>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</si>
  <si>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</si>
  <si>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</si>
  <si>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</si>
  <si>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</si>
  <si>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</si>
  <si>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</si>
  <si>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</si>
  <si>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</si>
  <si>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</si>
  <si>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</si>
  <si>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</si>
  <si>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</si>
  <si>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</si>
  <si>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</si>
  <si>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</si>
  <si>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</si>
  <si>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</si>
  <si>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</si>
  <si>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</si>
  <si>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</si>
  <si>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</si>
  <si>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</si>
  <si>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</si>
  <si>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</si>
  <si>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</si>
  <si>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</si>
  <si>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</si>
  <si>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</si>
  <si>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</si>
  <si>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</si>
  <si>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</si>
  <si>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</si>
  <si>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</si>
  <si>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</si>
  <si>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</si>
  <si>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</si>
  <si>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</si>
  <si>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</si>
  <si>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</si>
  <si>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</si>
  <si>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</si>
  <si>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</si>
  <si>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</si>
  <si>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</si>
  <si>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</si>
  <si>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</si>
  <si>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</si>
  <si>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</si>
  <si>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</si>
  <si>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</si>
  <si>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</si>
  <si>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</si>
  <si>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</si>
  <si>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</si>
  <si>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</si>
  <si>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</si>
  <si>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</si>
  <si>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</si>
  <si>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</si>
  <si>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</si>
  <si>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</si>
  <si>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</si>
  <si>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</si>
  <si>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</si>
  <si>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</si>
  <si>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</si>
  <si>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</si>
  <si>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</si>
  <si>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</si>
  <si>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</si>
  <si>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</si>
  <si>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</si>
  <si>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</si>
  <si>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</si>
  <si>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</si>
  <si>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</si>
  <si>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</si>
  <si>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</si>
  <si>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</si>
  <si>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</si>
  <si>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</si>
  <si>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</si>
  <si>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</si>
  <si>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</si>
  <si>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</si>
  <si>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</si>
  <si>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</si>
  <si>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</si>
  <si>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</si>
  <si>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</si>
  <si>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</si>
  <si>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</si>
  <si>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</si>
  <si>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</si>
  <si>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</si>
  <si>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</si>
  <si>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</si>
  <si>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</si>
  <si>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</si>
  <si>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</si>
  <si>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</si>
  <si>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</si>
  <si>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</si>
  <si>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</si>
  <si>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</si>
  <si>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</si>
  <si>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</si>
  <si>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</si>
  <si>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</si>
  <si>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</si>
  <si>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</si>
  <si>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</si>
  <si>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</si>
  <si>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</si>
  <si>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</si>
  <si>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</si>
  <si>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</si>
  <si>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</si>
  <si>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</si>
  <si>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</si>
  <si>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</si>
  <si>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</si>
  <si>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</si>
  <si>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</si>
  <si>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</si>
  <si>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</si>
  <si>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</si>
  <si>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</si>
  <si>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</si>
  <si>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</si>
  <si>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</si>
  <si>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</si>
  <si>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</si>
  <si>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</si>
  <si>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</si>
  <si>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</si>
  <si>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</si>
  <si>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</si>
  <si>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</si>
  <si>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</si>
  <si>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</si>
  <si>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</si>
  <si>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</si>
  <si>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</si>
  <si>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</si>
  <si>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</si>
  <si>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</si>
  <si>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</si>
  <si>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</si>
  <si>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</si>
  <si>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</si>
  <si>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</si>
  <si>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</si>
  <si>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</si>
  <si>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</si>
  <si>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</si>
  <si>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</si>
  <si>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</si>
  <si>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</si>
  <si>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</si>
  <si>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</si>
  <si>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</si>
  <si>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</si>
  <si>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</si>
  <si>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</si>
  <si>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</si>
  <si>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</si>
  <si>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</si>
  <si>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</si>
  <si>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</si>
  <si>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</si>
  <si>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</si>
  <si>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</si>
  <si>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</si>
  <si>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</si>
  <si>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</si>
  <si>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</si>
  <si>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</si>
  <si>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</si>
  <si>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</si>
  <si>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</si>
  <si>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</si>
  <si>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</si>
  <si>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</si>
  <si>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</si>
  <si>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</si>
  <si>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</si>
  <si>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</si>
  <si>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</si>
  <si>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</si>
  <si>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</si>
  <si>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</si>
  <si>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</si>
  <si>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</si>
  <si>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</si>
  <si>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</si>
  <si>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</si>
  <si>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</si>
  <si>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</si>
  <si>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</si>
  <si>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</si>
  <si>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</si>
  <si>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</si>
  <si>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</si>
  <si>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</si>
  <si>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</si>
  <si>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</si>
  <si>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</si>
  <si>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</si>
  <si>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</si>
  <si>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</si>
  <si>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</si>
  <si>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</si>
  <si>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</si>
  <si>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</si>
  <si>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</si>
  <si>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</si>
  <si>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</si>
  <si>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</si>
  <si>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</si>
  <si>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</si>
  <si>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</si>
  <si>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</si>
  <si>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</si>
  <si>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</si>
  <si>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</si>
  <si>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</si>
  <si>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</si>
  <si>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</si>
  <si>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</si>
  <si>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</si>
  <si>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</si>
  <si>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</si>
  <si>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</si>
  <si>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</si>
  <si>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</si>
  <si>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</si>
  <si>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</si>
  <si>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</si>
  <si>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</si>
  <si>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</si>
  <si>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</si>
  <si>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</si>
  <si>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</si>
  <si>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</si>
  <si>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</si>
  <si>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</si>
  <si>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</si>
  <si>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</si>
  <si>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</si>
  <si>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</si>
  <si>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</si>
  <si>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</si>
  <si>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</si>
  <si>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</si>
  <si>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</si>
  <si>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</si>
  <si>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</si>
  <si>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</si>
  <si>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</si>
  <si>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</si>
  <si>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</si>
  <si>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</si>
  <si>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</si>
  <si>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</si>
  <si>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</si>
  <si>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</si>
  <si>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</si>
  <si>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</si>
  <si>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</si>
  <si>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</si>
  <si>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</si>
  <si>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</si>
  <si>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</si>
  <si>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</si>
  <si>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</si>
  <si>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</si>
  <si>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</si>
  <si>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</si>
  <si>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</si>
  <si>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</si>
  <si>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</si>
  <si>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</si>
  <si>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</si>
  <si>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</si>
  <si>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</si>
  <si>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</si>
  <si>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</si>
  <si>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</si>
  <si>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</si>
  <si>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</si>
  <si>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</si>
  <si>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</si>
  <si>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</si>
  <si>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</si>
  <si>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</si>
  <si>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</si>
  <si>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</si>
  <si>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</si>
  <si>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</si>
  <si>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</si>
  <si>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</si>
  <si>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</si>
  <si>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</si>
  <si>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</si>
  <si>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</si>
  <si>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</si>
  <si>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</si>
  <si>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</si>
  <si>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</si>
  <si>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</si>
  <si>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</si>
  <si>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</si>
  <si>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</si>
  <si>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</si>
  <si>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</si>
  <si>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</si>
  <si>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</si>
  <si>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</si>
  <si>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</si>
  <si>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</si>
  <si>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</si>
  <si>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</si>
  <si>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</si>
  <si>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</si>
  <si>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</si>
  <si>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</si>
  <si>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</si>
  <si>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</si>
  <si>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</si>
  <si>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</si>
  <si>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</si>
  <si>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</si>
  <si>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</si>
  <si>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</si>
  <si>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</si>
  <si>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</si>
  <si>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</si>
  <si>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</si>
  <si>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</si>
  <si>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</si>
  <si>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</si>
  <si>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</si>
  <si>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</si>
  <si>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</si>
  <si>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</si>
  <si>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</si>
  <si>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</si>
  <si>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</si>
  <si>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</si>
  <si>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</si>
  <si>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</si>
  <si>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</si>
  <si>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</si>
  <si>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</si>
  <si>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</si>
  <si>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</si>
  <si>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</si>
  <si>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</si>
  <si>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</si>
  <si>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</si>
  <si>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</si>
  <si>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</si>
  <si>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</si>
  <si>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</si>
  <si>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</si>
  <si>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</si>
  <si>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</si>
  <si>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</si>
  <si>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</si>
  <si>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</si>
  <si>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</si>
  <si>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</si>
  <si>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</si>
  <si>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</si>
  <si>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</si>
  <si>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</si>
  <si>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</si>
  <si>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</si>
  <si>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</si>
  <si>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</si>
  <si>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</si>
  <si>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</si>
  <si>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</si>
  <si>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</si>
  <si>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</si>
  <si>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</si>
  <si>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</si>
  <si>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</si>
  <si>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</si>
  <si>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</si>
  <si>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</si>
  <si>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</si>
  <si>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</si>
  <si>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</si>
  <si>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</si>
  <si>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</si>
  <si>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</si>
  <si>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</si>
  <si>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</si>
  <si>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</si>
  <si>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</si>
  <si>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</si>
  <si>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</si>
  <si>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</si>
  <si>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</si>
  <si>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</si>
  <si>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</si>
  <si>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</si>
  <si>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</si>
  <si>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</si>
  <si>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</si>
  <si>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</si>
  <si>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</si>
  <si>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</si>
  <si>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</si>
  <si>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</si>
  <si>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</si>
  <si>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</si>
  <si>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</si>
  <si>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</si>
  <si>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</si>
  <si>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</si>
  <si>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</si>
  <si>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</si>
  <si>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</si>
  <si>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</si>
  <si>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</si>
  <si>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</si>
  <si>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</si>
  <si>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</si>
  <si>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</si>
  <si>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</si>
  <si>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</si>
  <si>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</si>
  <si>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</si>
  <si>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</si>
  <si>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</si>
  <si>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</si>
  <si>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</si>
  <si>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</si>
  <si>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</si>
  <si>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</si>
  <si>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</si>
  <si>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</si>
  <si>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</si>
  <si>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</si>
  <si>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</si>
  <si>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</si>
  <si>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</si>
  <si>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</si>
  <si>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</si>
  <si>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</si>
  <si>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</si>
  <si>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</si>
  <si>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</si>
  <si>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</si>
  <si>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</si>
  <si>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</si>
  <si>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</si>
  <si>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</si>
  <si>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</si>
  <si>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</si>
  <si>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</si>
  <si>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</si>
  <si>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</si>
  <si>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</si>
  <si>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</si>
  <si>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</si>
  <si>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</si>
  <si>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</si>
  <si>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</si>
  <si>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</si>
  <si>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</si>
  <si>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</si>
  <si>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</si>
  <si>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</si>
  <si>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</si>
  <si>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</si>
  <si>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</si>
  <si>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</si>
  <si>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</si>
  <si>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</si>
  <si>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</si>
  <si>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</si>
  <si>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</si>
  <si>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</si>
  <si>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</si>
  <si>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</si>
  <si>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</si>
  <si>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</si>
  <si>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</si>
  <si>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</si>
  <si>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</si>
  <si>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</si>
  <si>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</si>
  <si>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</si>
  <si>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</si>
  <si>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</si>
  <si>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</si>
  <si>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</si>
  <si>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</si>
  <si>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</si>
  <si>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</si>
  <si>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</si>
  <si>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</si>
  <si>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</si>
  <si>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</si>
  <si>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</si>
  <si>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</si>
  <si>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</si>
  <si>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</si>
  <si>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</si>
  <si>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</si>
  <si>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</si>
  <si>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</si>
  <si>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</si>
  <si>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</si>
  <si>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</si>
  <si>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</si>
  <si>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</si>
  <si>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</si>
  <si>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</si>
  <si>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</si>
  <si>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</si>
  <si>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</si>
  <si>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</si>
  <si>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</si>
  <si>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</si>
  <si>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</si>
  <si>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</si>
  <si>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</si>
  <si>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</si>
  <si>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</si>
  <si>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</si>
  <si>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</si>
  <si>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</si>
  <si>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</si>
  <si>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</si>
  <si>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</si>
  <si>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</si>
  <si>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</si>
  <si>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</si>
  <si>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</si>
  <si>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</si>
  <si>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</si>
  <si>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</si>
  <si>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</si>
  <si>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</si>
  <si>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</si>
  <si>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</si>
  <si>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</si>
  <si>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</si>
  <si>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</si>
  <si>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</si>
  <si>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</si>
  <si>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</si>
  <si>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</si>
  <si>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</si>
  <si>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</si>
  <si>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</si>
  <si>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</si>
  <si>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</si>
  <si>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</si>
  <si>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</si>
  <si>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</si>
  <si>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</si>
  <si>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</si>
  <si>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</si>
  <si>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</si>
  <si>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</si>
  <si>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</si>
  <si>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</si>
  <si>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</si>
  <si>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</si>
  <si>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</si>
  <si>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</si>
  <si>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</si>
  <si>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</si>
  <si>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</si>
  <si>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</si>
  <si>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</si>
  <si>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</si>
  <si>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</si>
  <si>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</si>
  <si>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</si>
  <si>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</si>
  <si>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</si>
  <si>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</si>
  <si>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</si>
  <si>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</si>
  <si>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</si>
  <si>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</si>
  <si>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</si>
  <si>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</si>
  <si>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</si>
  <si>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</si>
  <si>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</si>
  <si>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</si>
  <si>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</si>
  <si>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</si>
  <si>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</si>
  <si>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</si>
  <si>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</si>
  <si>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</si>
  <si>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</si>
  <si>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</si>
  <si>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</si>
  <si>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</si>
  <si>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</si>
  <si>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</si>
  <si>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</si>
  <si>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</si>
  <si>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</si>
  <si>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</si>
  <si>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</si>
  <si>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</si>
  <si>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</si>
  <si>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</si>
  <si>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</si>
  <si>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</si>
  <si>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</si>
  <si>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</si>
  <si>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</si>
  <si>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</si>
  <si>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</si>
  <si>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</si>
  <si>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</si>
  <si>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</si>
  <si>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</si>
  <si>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</si>
  <si>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</si>
  <si>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</si>
  <si>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Namens-Vertauschung erkannt: 'Christiane Dini' vs. bestehend 'Dini Christiane'</t>
  </si>
  <si>
    <t>Details / Ursache</t>
  </si>
  <si>
    <t>Meldung</t>
  </si>
  <si>
    <t>Zeitstempel</t>
  </si>
  <si>
    <t>Typ</t>
  </si>
  <si>
    <t>⚠</t>
  </si>
  <si>
    <t>Lead erhalten</t>
  </si>
  <si>
    <t>Name-Duplikat erkannt (nach Normalisierung): 'Axel Rogge' = bestehend 'Rogge, Axel'</t>
  </si>
  <si>
    <t>Name-Duplikat erkannt (nach Normalisierung): 'Helga Konig' = bestehend 'Konig, Helga'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</si>
  <si>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</si>
  <si>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</si>
  <si>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</si>
  <si>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</si>
  <si>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Name-Duplikat erkannt (nach Normalisierung): 'Isolde Kettenstock' = bestehend 'Kettenstock, Isolde'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</si>
  <si>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</si>
  <si>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</si>
  <si>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</si>
  <si>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</si>
  <si>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</si>
  <si>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</si>
  <si>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</si>
  <si>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</si>
  <si>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Name-Duplikat erkannt (nach Normalisierung): 'Elisabeth Spitzweck' = bestehend 'Spitzweck, Elisabeth'</t>
  </si>
  <si>
    <t>Name-Duplikat erkannt (nach Normalisierung): 'Irene Schnell' = bestehend 'Irene Schnell'</t>
  </si>
  <si>
    <t>Name-Duplikat erkannt (nach Normalisierung): 'Karin Meier' = bestehend 'Karin Meier'</t>
  </si>
  <si>
    <t>Name-Duplikat erkannt (nach Normalisierung): 'Magda Langenbach' = bestehend 'Magda Langenbach'</t>
  </si>
  <si>
    <t>Name-Duplikat erkannt (nach Normalisierung): 'Manfred Kosak' = bestehend 'Manfred Kosak'</t>
  </si>
  <si>
    <t>Name-Duplikat erkannt (nach Normalisierung): 'Meggy Kaiser' = bestehend 'Meggy Kaiser'</t>
  </si>
  <si>
    <t>Name-Duplikat erkannt (nach Normalisierung): 'Tim Douglas' = bestehend 'Douglas, Tim'</t>
  </si>
  <si>
    <t/>
  </si>
  <si>
    <t>'/Users/steffen/Documents/GitHub/Excel Leads/Mails'</t>
  </si>
  <si>
    <t>Aehnlicher Name gefunden: 'Rosi Hennig-Pfeffer' vs. bestehend 'Henning-Pfeffer, Rosi' (Distanz: 1)</t>
  </si>
  <si>
    <t>Aehnlicher Name gefunden: 'Teresia Fleck' vs. bestehend 'Fleck, Theresia' (Distanz: 1)</t>
  </si>
  <si>
    <t>Aehnlicher Name gefunden: 'Susanna Teschner' vs. bestehend 'Teschner, Susanne' (Distanz: 1)</t>
  </si>
  <si>
    <t>Name-Duplikat erkannt (nach Normalisierung): 'Edeltraud Hörath' = bestehend 'Edeltraud Hörath'</t>
  </si>
  <si>
    <t>Name-Duplikat erkannt (nach Normalisierung): 'Sabine Bäuml' = bestehend 'Sabine Bäuml'</t>
  </si>
  <si>
    <t>Aktion</t>
  </si>
  <si>
    <t>Info</t>
  </si>
  <si>
    <t>ToDo</t>
  </si>
  <si>
    <t>Eintrag wird uebersprungen. Leadtyp: Lead, Datum: 10.02.26 | Ref: Datei: Alltagshilfe Lead - ID- 5c95fc70-05bd-4d32-a85b-c74d8c484e7f.eml</t>
  </si>
  <si>
    <t>Moeglicherweise gleiche Person. Leadtyp: Lead, Datum: 02.01.26 | Ref: Betreff: Fw: Alltagshilfe Lead | ID: 8e3b5bd0-0b63-459a-9fec-b05051119aac
Datei: Fw_ Alltagshilfe Lead | ID_ 8e3b5bd0-0b63-459a-9fec-b05051119aac 2.eml
Von: Info Vitalis &lt;Info@vitalis-seniorendienst.de&gt;</t>
  </si>
  <si>
    <t>Eintrag wird uebersprungen. Leadtyp: Lead, Datum: 02.01.26 | Ref: Betreff: Fw: Alltagshilfe Lead | ID: 9ae7744b-fbb2-4091-935d-aa43cb1e034a
Datei: Fw_ Alltagshilfe Lead | ID_ 9ae7744b-fbb2-4091-935d-aa43cb1e034a.eml
Von: Info Vitalis &lt;Info@vitalis-seniorendienst.de&gt;</t>
  </si>
  <si>
    <t>Eintrag wird uebersprungen. Leadtyp: Lead, Datum: 02.01.26 | Ref: Betreff: Fw: Alltagshilfe Lead | ID: 53344d96-d122-4889-8ba2-226833e34b86
Datei: Fw_ Alltagshilfe Lead | ID_ 53344d96-d122-4889-8ba2-226833e34b86.eml
Von: Info Vitalis &lt;Info@vitalis-seniorendienst.de&gt;</t>
  </si>
  <si>
    <t>Eintrag wird uebersprungen. Leadtyp: Lead, Datum: 02.01.26 | Ref: Betreff: Fw: Alltagshilfe Lead | ID: 6842263e-8edb-4bd0-851a-ce3e3d998f41
Datei: Fw_ Alltagshilfe Lead | ID_ 6842263e-8edb-4bd0-851a-ce3e3d998f41.eml
Von: Info Vitalis &lt;Info@vitalis-seniorendienst.de&gt;</t>
  </si>
  <si>
    <t>Eintrag wird uebersprungen. Leadtyp: Lead, Datum: 02.01.26 | Ref: Betreff: Fw: Alltagshilfe Lead | ID: c38ad313-71d4-41be-8dc4-79350c6cc71d
Datei: Fw_ Alltagshilfe Lead | ID_ c38ad313-71d4-41be-8dc4-79350c6cc71d.eml
Von: Info Vitalis &lt;Info@vitalis-seniorendienst.de&gt;</t>
  </si>
  <si>
    <t>Eintrag wird uebersprungen. Leadtyp: Lead, Datum: 02.01.26 | Ref: Betreff: Fw: Alltagshilfe Lead | ID: f8b3c96d-20fb-4e12-affa-82d39740bbca
Datei: Fw_ Alltagshilfe Lead | ID_ f8b3c96d-20fb-4e12-affa-82d39740bbca.eml
Von: Info Vitalis &lt;Info@vitalis-seniorendienst.de&gt;</t>
  </si>
  <si>
    <t>Gleiche Person - Eintrag wird uebersprungen. Leadtyp: Neue Anfrage, Datum: 02.01.26 | Ref: Betreff: Fw: Neue Anfrage: Christiane Dini
Datei: Fw_ Neue Anfrage_ Christiane Dini.eml
Von: Info Vitalis &lt;Info@vitalis-seniorendienst.de&gt;</t>
  </si>
  <si>
    <t>Eintrag wird uebersprungen. Leadtyp: Neue Anfrage, Datum: 02.01.26 | Ref: Betreff: Fw: Neue Anfrage: Isolde Kettenstock
Datei: Fw_ Neue Anfrage_ Isolde Kettenstock.eml
Von: Info Vitalis &lt;Info@vitalis-seniorendienst.de&gt;</t>
  </si>
  <si>
    <t>Eintrag wird uebersprungen. Leadtyp: Neue Anfrage, Datum: 02.01.26 | Ref: Betreff: Fw: Neue Anfrage: Klaus Schwarz-Seelig
Datei: Fw_ Neue Anfrage_ Klaus Schwarz-Seelig.eml
Von: Info Vitalis &lt;Info@vitalis-seniorendienst.de&gt;</t>
  </si>
  <si>
    <t>Eintrag wird uebersprungen. Leadtyp: Neue Anfrage, Datum: 02.01.26 | Ref: Betreff: Fw: Neue Anfrage: Manfred Pfaff
Datei: Fw_ Neue Anfrage_ Manfred Pfaff.eml
Von: Info Vitalis &lt;Info@vitalis-seniorendienst.de&gt;</t>
  </si>
  <si>
    <t>Moeglicherweise gleiche Person. Leadtyp: Neue Anfrage, Datum: 02.01.26 | Ref: Betreff: Fw: Neue Anfrage: Teresia Fleck
Datei: Fw_ Neue Anfrage_ Teresia Fleck.eml
Von: Info Vitalis &lt;Info@vitalis-seniorendienst.de&gt;</t>
  </si>
  <si>
    <t>Eintrag wird uebersprungen. Leadtyp: Lead, Datum: 15.01.26 | Ref: Betreff: WG: Alltagshilfe Lead | ID: 0ba309b9-8ef8-4a69-be4f-c9bdb3df4f6f
Datei: WG_ Alltagshilfe Lead | ID_ 0ba309b9-8ef8-4a69-be4f-c9bdb3df4f6f.eml
Von: Info Vitalis &lt;Info@vitalis-seniorendienst.de&gt;</t>
  </si>
  <si>
    <t>Moeglicherweise gleiche Person. Leadtyp: Lead, Datum: 15.01.26 | Ref: Betreff: WG: Alltagshilfe Lead | ID: 5a551a4e-2b9b-402d-bf18-0259e5130dc0
Datei: WG_ Alltagshilfe Lead | ID_ 5a551a4e-2b9b-402d-bf18-0259e5130dc0.eml
Von: Info Vitalis &lt;Info@vitalis-seniorendienst.de&gt;</t>
  </si>
  <si>
    <t>Eintrag wird uebersprungen. Leadtyp: Lead, Datum: 11.01.26 | Ref: Betreff: WG: Alltagshilfe Lead | ID: 5c95fc70-05bd-4d32-a85b-c74d8c484e7f
Datei: WG_ Alltagshilfe Lead | ID_ 5c95fc70-05bd-4d32-a85b-c74d8c484e7f 2.eml
Von: "Karim  Maghrebi" &lt;k.maghrebi@vitalis-seniorendien</t>
  </si>
  <si>
    <t>Eintrag wird uebersprungen. Leadtyp: Lead, Datum: 15.01.26 | Ref: Betreff: WG: Alltagshilfe Lead | ID: 5c95fc70-05bd-4d32-a85b-c74d8c484e7f
Datei: WG_ Alltagshilfe Lead | ID_ 5c95fc70-05bd-4d32-a85b-c74d8c484e7f.eml
Von: Info Vitalis &lt;Info@vitalis-seniorendienst.de&gt;</t>
  </si>
  <si>
    <t>Eintrag wird uebersprungen. Leadtyp: Lead, Datum: 15.01.26 | Ref: Betreff: WG: Alltagshilfe Lead | ID: 93eb825b-7876-4434-a417-ddba5b654acc
Datei: WG_ Alltagshilfe Lead | ID_ 93eb825b-7876-4434-a417-ddba5b654acc.eml
Von: Info Vitalis &lt;Info@vitalis-seniorendienst.de&gt;</t>
  </si>
  <si>
    <t>Eintrag wird uebersprungen. Leadtyp: Lead, Datum: 15.01.26 | Ref: Betreff: WG: Alltagshilfe Lead | ID: 187fb3bf-0595-4662-817d-b7b1bac9d2e9
Datei: WG_ Alltagshilfe Lead | ID_ 187fb3bf-0595-4662-817d-b7b1bac9d2e9.eml
Von: Info Vitalis &lt;Info@vitalis-seniorendienst.de&gt;</t>
  </si>
  <si>
    <t>Eintrag wird uebersprungen. Leadtyp: Lead, Datum: 15.01.26 | Ref: Betreff: WG: Alltagshilfe Lead | ID: 1437cd9d-9591-40ec-9215-b8423fa4ab76
Datei: WG_ Alltagshilfe Lead | ID_ 1437cd9d-9591-40ec-9215-b8423fa4ab76.eml
Von: Info Vitalis &lt;Info@vitalis-seniorendienst.de&gt;</t>
  </si>
  <si>
    <t>Eintrag wird uebersprungen. Leadtyp: Lead, Datum: 15.01.26 | Ref: Betreff: WG: Alltagshilfe Lead | ID: f6c078e5-bf46-4ff3-9f5e-277a0f9c9abe
Datei: WG_ Alltagshilfe Lead | ID_ f6c078e5-bf46-4ff3-9f5e-277a0f9c9abe.eml
Von: Info Vitalis &lt;Info@vitalis-seniorendienst.de&gt;</t>
  </si>
  <si>
    <t>Eintrag wird uebersprungen. Leadtyp: Neue Anfrage, Datum: 15.01.26 | Ref: Betreff: WG: Neue Anfrage: Annelise Stadler
Datei: WG_ Neue Anfrage_ Annelise Stadler.eml
Von: Info Vitalis &lt;Info@vitalis-seniorendienst.de&gt;</t>
  </si>
  <si>
    <t>Eintrag wird uebersprungen. Leadtyp: Neue Anfrage, Datum: 15.01.26 | Ref: Betreff: WG: Neue Anfrage: Edeltraud Hörath
Datei: WG_ Neue Anfrage_ Edeltraud Hörath.eml
Von: Info Vitalis &lt;Info@vitalis-seniorendienst.de&gt;</t>
  </si>
  <si>
    <t>Eintrag wird uebersprungen. Leadtyp: Neue Anfrage, Datum: 15.01.26 | Ref: Betreff: WG: Neue Anfrage: Elisabeth Spitzweck
Datei: WG_ Neue Anfrage_ Elisabeth Spitzweck.eml
Von: Info Vitalis &lt;Info@vitalis-seniorendienst.de&gt;</t>
  </si>
  <si>
    <t>Eintrag wird uebersprungen. Leadtyp: Neue Anfrage, Datum: 11.01.26 | Ref: Betreff: WG: Neue Anfrage: Irene Schnell
Datei: WG_ Neue Anfrage_ Irene Schnell 2.eml
Von: "Karim  Maghrebi" &lt;k.maghrebi@vitalis-seniorendien</t>
  </si>
  <si>
    <t>Eintrag wird uebersprungen. Leadtyp: Neue Anfrage, Datum: 15.01.26 | Ref: Betreff: WG: Neue Anfrage: Irene Schnell
Datei: WG_ Neue Anfrage_ Irene Schnell.eml
Von: Info Vitalis &lt;Info@vitalis-seniorendienst.de&gt;</t>
  </si>
  <si>
    <t>Eintrag wird uebersprungen. Leadtyp: Neue Anfrage, Datum: 15.01.26 | Ref: Betreff: WG: Neue Anfrage: Karin Meier
Datei: WG_ Neue Anfrage_ Karin Meier.eml
Von: Info Vitalis &lt;Info@vitalis-seniorendienst.de&gt;</t>
  </si>
  <si>
    <t>Eintrag wird uebersprungen. Leadtyp: Neue Anfrage, Datum: 15.01.26 | Ref: Betreff: WG: Neue Anfrage: Magda Langenbach
Datei: WG_ Neue Anfrage_ Magda Langenbach.eml
Von: Info Vitalis &lt;Info@vitalis-seniorendienst.de&gt;</t>
  </si>
  <si>
    <t>Eintrag wird uebersprungen. Leadtyp: Neue Anfrage, Datum: 15.01.26 | Ref: Betreff: WG: Neue Anfrage: Manfred Kosak
Datei: WG_ Neue Anfrage_ Manfred Kosak.eml
Von: Info Vitalis &lt;Info@vitalis-seniorendienst.de&gt;</t>
  </si>
  <si>
    <t>Eintrag wird uebersprungen. Leadtyp: Neue Anfrage, Datum: 15.01.26 | Ref: Betreff: WG: Neue Anfrage: Meggy Kaiser
Datei: WG_ Neue Anfrage_ Meggy Kaiser 2.eml
Von: Info Vitalis &lt;Info@vitalis-seniorendienst.de&gt;</t>
  </si>
  <si>
    <t>Eintrag wird uebersprungen. Leadtyp: Neue Anfrage, Datum: 11.01.26 | Ref: Betreff: WG: Neue Anfrage: Meggy Kaiser
Datei: WG_ Neue Anfrage_ Meggy Kaiser.eml
Von: "Karim  Maghrebi" &lt;k.maghrebi@vitalis-seniorendien</t>
  </si>
  <si>
    <t>Eintrag wird uebersprungen. Leadtyp: Neue Anfrage, Datum: 15.01.26 | Ref: Betreff: WG: Neue Anfrage: Sabine Bäuml
Datei: WG_ Neue Anfrage_ Sabine Bäuml.eml
Von: Info Vitalis &lt;Info@vitalis-seniorendienst.de&gt;</t>
  </si>
  <si>
    <t>Eintrag wird uebersprungen. Leadtyp: Neue Anfrage, Datum: 23.01.26 | Ref: Betreff: WG: Neue Anfrage: Tim Douglas
Datei: WG_ Neue Anfrage_ Tim Douglas.eml
Von: "Karim  Maghrebi" &lt;k.maghrebi@vitalis-seniorendien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</si>
</sst>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sz val="12"/>
      <color theme="1" tint="0.499984740745262"/>
      <name val="Arial"/>
      <family val="2"/>
    </font>
    <font>
      <b/>
      <sz val="10"/>
      <color rgb="FFFFFFFF"/>
      <name val="Aptos Narrow"/>
      <scheme val="minor"/>
    </font>
    <font>
      <sz val="10"/>
      <color theme="0" tint="-4.9989318521683403E-2"/>
      <name val="Avenir Next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5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0" fillId="0" borderId="0" xfId="0" applyNumberFormat="1" applyFont="1" applyAlignment="1">
      <alignment horizontal="center"/>
    </xf>
    <xf numFmtId="0" fontId="11" fillId="7" borderId="0" xfId="6" applyFont="1" applyFill="1"/>
    <xf numFmtId="0" fontId="3" fillId="6" borderId="0" xfId="6" applyFill="1" applyAlignment="1">
      <alignment wrapText="1"/>
    </xf>
    <xf numFmtId="0" fontId="12" fillId="5" borderId="0" xfId="0" applyFont="1" applyFill="1"/>
    <xf numFmtId="16" fontId="12" fillId="5" borderId="0" xfId="0" applyNumberFormat="1" applyFont="1" applyFill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32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91-234B-87EB-C6328DE31051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91-234B-87EB-C6328DE31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1005184"/>
        <c:axId val="1421008768"/>
      </c:lineChart>
      <c:dateAx>
        <c:axId val="1421005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421008768"/>
        <c:crosses val="autoZero"/>
        <c:auto val="1"/>
        <c:lblOffset val="100"/>
        <c:baseTimeUnit val="months"/>
      </c:dateAx>
      <c:valAx>
        <c:axId val="142100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100518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1-F14B-BFB6-462803AD4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8316928"/>
        <c:axId val="1428310656"/>
      </c:barChart>
      <c:dateAx>
        <c:axId val="1428316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428310656"/>
        <c:crosses val="autoZero"/>
        <c:auto val="1"/>
        <c:lblOffset val="100"/>
        <c:baseTimeUnit val="months"/>
      </c:dateAx>
      <c:valAx>
        <c:axId val="1428310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831692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512" name="Textfeld 511">
          <a:extLst>
            <a:ext uri="{FF2B5EF4-FFF2-40B4-BE49-F238E27FC236}">
              <a16:creationId xmlns:a16="http://schemas.microsoft.com/office/drawing/2014/main" id="{1420CDCE-F30A-EC6E-99BD-79AE640BDA52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513" name="Abgerundetes Rechteck 512">
          <a:extLst>
            <a:ext uri="{FF2B5EF4-FFF2-40B4-BE49-F238E27FC236}">
              <a16:creationId xmlns:a16="http://schemas.microsoft.com/office/drawing/2014/main" id="{6CAC9A1C-94AE-0B1E-6E79-FB7BFC1F0166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578" name="Textfeld 577">
          <a:extLst>
            <a:ext uri="{FF2B5EF4-FFF2-40B4-BE49-F238E27FC236}">
              <a16:creationId xmlns:a16="http://schemas.microsoft.com/office/drawing/2014/main" id="{2090471C-23DA-D75C-8FDE-F875BA52D6DE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79" name="Textfeld 578">
          <a:extLst>
            <a:ext uri="{FF2B5EF4-FFF2-40B4-BE49-F238E27FC236}">
              <a16:creationId xmlns:a16="http://schemas.microsoft.com/office/drawing/2014/main" id="{0E379BC4-F54F-5088-723D-BA4867A35F96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134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580" name="Rechteck 579">
          <a:extLst>
            <a:ext uri="{FF2B5EF4-FFF2-40B4-BE49-F238E27FC236}">
              <a16:creationId xmlns:a16="http://schemas.microsoft.com/office/drawing/2014/main" id="{05EF9E73-0640-B476-9366-D2674BE357CA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581" name="Abgerundetes Rechteck 580">
          <a:extLst>
            <a:ext uri="{FF2B5EF4-FFF2-40B4-BE49-F238E27FC236}">
              <a16:creationId xmlns:a16="http://schemas.microsoft.com/office/drawing/2014/main" id="{44DEC01E-5B37-48C8-FEE1-A4C52573DB17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582" name="Textfeld 581">
          <a:extLst>
            <a:ext uri="{FF2B5EF4-FFF2-40B4-BE49-F238E27FC236}">
              <a16:creationId xmlns:a16="http://schemas.microsoft.com/office/drawing/2014/main" id="{29F97AA9-7A5A-1F26-4179-379A3CD45DAC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583" name="Textfeld 582">
          <a:extLst>
            <a:ext uri="{FF2B5EF4-FFF2-40B4-BE49-F238E27FC236}">
              <a16:creationId xmlns:a16="http://schemas.microsoft.com/office/drawing/2014/main" id="{2C828167-2FC2-4CFF-CEF5-9FF9F64CE1FE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16,4%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584" name="Rechteck 583">
          <a:extLst>
            <a:ext uri="{FF2B5EF4-FFF2-40B4-BE49-F238E27FC236}">
              <a16:creationId xmlns:a16="http://schemas.microsoft.com/office/drawing/2014/main" id="{6AAB5E53-BA6B-9060-3544-966156303434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585" name="Abgerundetes Rechteck 584">
          <a:extLst>
            <a:ext uri="{FF2B5EF4-FFF2-40B4-BE49-F238E27FC236}">
              <a16:creationId xmlns:a16="http://schemas.microsoft.com/office/drawing/2014/main" id="{D94831AB-0F33-179B-5537-2F638934B6F9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586" name="Textfeld 585">
          <a:extLst>
            <a:ext uri="{FF2B5EF4-FFF2-40B4-BE49-F238E27FC236}">
              <a16:creationId xmlns:a16="http://schemas.microsoft.com/office/drawing/2014/main" id="{7E75A736-45EC-F17A-A8AC-AD4F442C6798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587" name="Textfeld 586">
          <a:extLst>
            <a:ext uri="{FF2B5EF4-FFF2-40B4-BE49-F238E27FC236}">
              <a16:creationId xmlns:a16="http://schemas.microsoft.com/office/drawing/2014/main" id="{0778F679-BABD-DCD5-5A02-74C90F79E4A8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588" name="Rechteck 587">
          <a:extLst>
            <a:ext uri="{FF2B5EF4-FFF2-40B4-BE49-F238E27FC236}">
              <a16:creationId xmlns:a16="http://schemas.microsoft.com/office/drawing/2014/main" id="{60096495-0FD4-EB8F-F8DF-702CF2DCCA0F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589" name="Abgerundetes Rechteck 588">
          <a:extLst>
            <a:ext uri="{FF2B5EF4-FFF2-40B4-BE49-F238E27FC236}">
              <a16:creationId xmlns:a16="http://schemas.microsoft.com/office/drawing/2014/main" id="{45538EDA-1CD1-4F56-4B2B-2CD19FA7102A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590" name="Textfeld 589">
          <a:extLst>
            <a:ext uri="{FF2B5EF4-FFF2-40B4-BE49-F238E27FC236}">
              <a16:creationId xmlns:a16="http://schemas.microsoft.com/office/drawing/2014/main" id="{B76CB5EB-F8F8-5253-B08D-6F84180D377B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591" name="Textfeld 590">
          <a:extLst>
            <a:ext uri="{FF2B5EF4-FFF2-40B4-BE49-F238E27FC236}">
              <a16:creationId xmlns:a16="http://schemas.microsoft.com/office/drawing/2014/main" id="{BE9C0085-04CE-8624-0212-3DC2CA9CF228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31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592" name="Rechteck 591">
          <a:extLst>
            <a:ext uri="{FF2B5EF4-FFF2-40B4-BE49-F238E27FC236}">
              <a16:creationId xmlns:a16="http://schemas.microsoft.com/office/drawing/2014/main" id="{D17A0976-256F-FB05-546B-3366E2666828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593" name="Abgerundetes Rechteck 592">
          <a:extLst>
            <a:ext uri="{FF2B5EF4-FFF2-40B4-BE49-F238E27FC236}">
              <a16:creationId xmlns:a16="http://schemas.microsoft.com/office/drawing/2014/main" id="{05C58931-C88E-CA3D-D004-E82C4D7F67FA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594" name="Textfeld 593">
          <a:extLst>
            <a:ext uri="{FF2B5EF4-FFF2-40B4-BE49-F238E27FC236}">
              <a16:creationId xmlns:a16="http://schemas.microsoft.com/office/drawing/2014/main" id="{61427710-8769-93BE-886A-624F3B8BF3C1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595" name="Diagramm 594">
          <a:extLst>
            <a:ext uri="{FF2B5EF4-FFF2-40B4-BE49-F238E27FC236}">
              <a16:creationId xmlns:a16="http://schemas.microsoft.com/office/drawing/2014/main" id="{33953782-050F-CC62-CF9E-5CD3AD48C0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596" name="Abgerundetes Rechteck 595">
          <a:extLst>
            <a:ext uri="{FF2B5EF4-FFF2-40B4-BE49-F238E27FC236}">
              <a16:creationId xmlns:a16="http://schemas.microsoft.com/office/drawing/2014/main" id="{A2C93B21-FE71-4BB0-B0B0-F5FF4F52CFCB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597" name="Textfeld 596">
          <a:extLst>
            <a:ext uri="{FF2B5EF4-FFF2-40B4-BE49-F238E27FC236}">
              <a16:creationId xmlns:a16="http://schemas.microsoft.com/office/drawing/2014/main" id="{26731734-A043-EFAD-2649-D5A3C7EEDB0C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598" name="Diagramm 597">
          <a:extLst>
            <a:ext uri="{FF2B5EF4-FFF2-40B4-BE49-F238E27FC236}">
              <a16:creationId xmlns:a16="http://schemas.microsoft.com/office/drawing/2014/main" id="{D47312EB-E476-82AC-9349-5739774D5C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599" name="Abgerundetes Rechteck 598">
          <a:extLst>
            <a:ext uri="{FF2B5EF4-FFF2-40B4-BE49-F238E27FC236}">
              <a16:creationId xmlns:a16="http://schemas.microsoft.com/office/drawing/2014/main" id="{03E7E72F-7777-D2EE-502C-1CE9E7AC4C3C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FC18287B-2813-2596-1A1F-6205EDF3830C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601" name="Textfeld 600">
          <a:extLst>
            <a:ext uri="{FF2B5EF4-FFF2-40B4-BE49-F238E27FC236}">
              <a16:creationId xmlns:a16="http://schemas.microsoft.com/office/drawing/2014/main" id="{D825644D-1135-8312-AE6B-EF66223B5AB5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602" name="Textfeld 601">
          <a:extLst>
            <a:ext uri="{FF2B5EF4-FFF2-40B4-BE49-F238E27FC236}">
              <a16:creationId xmlns:a16="http://schemas.microsoft.com/office/drawing/2014/main" id="{BFF1C818-3F76-04E0-9262-8C2DB2A4A1C3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603" name="Textfeld 602">
          <a:extLst>
            <a:ext uri="{FF2B5EF4-FFF2-40B4-BE49-F238E27FC236}">
              <a16:creationId xmlns:a16="http://schemas.microsoft.com/office/drawing/2014/main" id="{1851CED8-200B-74BB-C755-8814AABA54D5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604" name="Rechteck 603">
          <a:extLst>
            <a:ext uri="{FF2B5EF4-FFF2-40B4-BE49-F238E27FC236}">
              <a16:creationId xmlns:a16="http://schemas.microsoft.com/office/drawing/2014/main" id="{CDF1A02B-54A7-B6BF-D4E8-9F2DAE0267A9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605" name="Textfeld 604">
          <a:extLst>
            <a:ext uri="{FF2B5EF4-FFF2-40B4-BE49-F238E27FC236}">
              <a16:creationId xmlns:a16="http://schemas.microsoft.com/office/drawing/2014/main" id="{0CF552C9-AE2B-5022-A08F-24EA4262D4F3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606" name="Textfeld 605">
          <a:extLst>
            <a:ext uri="{FF2B5EF4-FFF2-40B4-BE49-F238E27FC236}">
              <a16:creationId xmlns:a16="http://schemas.microsoft.com/office/drawing/2014/main" id="{318F80F2-0B00-B0EB-5231-5DD42B2745E6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607" name="Textfeld 606">
          <a:extLst>
            <a:ext uri="{FF2B5EF4-FFF2-40B4-BE49-F238E27FC236}">
              <a16:creationId xmlns:a16="http://schemas.microsoft.com/office/drawing/2014/main" id="{7A6F911B-E8AD-6061-7334-6405A1D5D326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608" name="Textfeld 607">
          <a:extLst>
            <a:ext uri="{FF2B5EF4-FFF2-40B4-BE49-F238E27FC236}">
              <a16:creationId xmlns:a16="http://schemas.microsoft.com/office/drawing/2014/main" id="{9166B6B6-3F2E-A241-B066-EB8F1B9D8D8D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609" name="Textfeld 608">
          <a:extLst>
            <a:ext uri="{FF2B5EF4-FFF2-40B4-BE49-F238E27FC236}">
              <a16:creationId xmlns:a16="http://schemas.microsoft.com/office/drawing/2014/main" id="{6ACA4D30-1231-6368-B8CE-2E9385816F8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610" name="Textfeld 609">
          <a:extLst>
            <a:ext uri="{FF2B5EF4-FFF2-40B4-BE49-F238E27FC236}">
              <a16:creationId xmlns:a16="http://schemas.microsoft.com/office/drawing/2014/main" id="{283E1443-D353-F0FC-D3F0-4381B9FC8F4D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611" name="Textfeld 610">
          <a:extLst>
            <a:ext uri="{FF2B5EF4-FFF2-40B4-BE49-F238E27FC236}">
              <a16:creationId xmlns:a16="http://schemas.microsoft.com/office/drawing/2014/main" id="{7FCB2B19-143E-EDF6-15F2-7D169C7AE15B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612" name="Textfeld 611">
          <a:extLst>
            <a:ext uri="{FF2B5EF4-FFF2-40B4-BE49-F238E27FC236}">
              <a16:creationId xmlns:a16="http://schemas.microsoft.com/office/drawing/2014/main" id="{DE3845BA-E41A-3780-732E-407BEFDDE8F1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613" name="Textfeld 612">
          <a:extLst>
            <a:ext uri="{FF2B5EF4-FFF2-40B4-BE49-F238E27FC236}">
              <a16:creationId xmlns:a16="http://schemas.microsoft.com/office/drawing/2014/main" id="{02CCB4ED-B31A-9622-870C-8B67A311A8F6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614" name="Textfeld 613">
          <a:extLst>
            <a:ext uri="{FF2B5EF4-FFF2-40B4-BE49-F238E27FC236}">
              <a16:creationId xmlns:a16="http://schemas.microsoft.com/office/drawing/2014/main" id="{27D13452-7232-5952-CBA7-942C74D2DACD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615" name="Textfeld 614">
          <a:extLst>
            <a:ext uri="{FF2B5EF4-FFF2-40B4-BE49-F238E27FC236}">
              <a16:creationId xmlns:a16="http://schemas.microsoft.com/office/drawing/2014/main" id="{FCB33095-16E7-CD7C-167F-8B5C137CEA78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616" name="Textfeld 615">
          <a:extLst>
            <a:ext uri="{FF2B5EF4-FFF2-40B4-BE49-F238E27FC236}">
              <a16:creationId xmlns:a16="http://schemas.microsoft.com/office/drawing/2014/main" id="{140CF6FD-FA7F-A9B6-4F44-43627A9084F5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617" name="Textfeld 616">
          <a:extLst>
            <a:ext uri="{FF2B5EF4-FFF2-40B4-BE49-F238E27FC236}">
              <a16:creationId xmlns:a16="http://schemas.microsoft.com/office/drawing/2014/main" id="{057D867A-7092-991C-DFB6-4322F765B090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618" name="Textfeld 617">
          <a:extLst>
            <a:ext uri="{FF2B5EF4-FFF2-40B4-BE49-F238E27FC236}">
              <a16:creationId xmlns:a16="http://schemas.microsoft.com/office/drawing/2014/main" id="{60E7A484-4ECB-D609-4176-42ACD496F30B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619" name="Textfeld 618">
          <a:extLst>
            <a:ext uri="{FF2B5EF4-FFF2-40B4-BE49-F238E27FC236}">
              <a16:creationId xmlns:a16="http://schemas.microsoft.com/office/drawing/2014/main" id="{1DCC8539-E41A-9897-5E37-121326014B09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620" name="Textfeld 619">
          <a:extLst>
            <a:ext uri="{FF2B5EF4-FFF2-40B4-BE49-F238E27FC236}">
              <a16:creationId xmlns:a16="http://schemas.microsoft.com/office/drawing/2014/main" id="{1EB15F36-C38B-E55B-3065-F20D3E7E40E3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621" name="Textfeld 620">
          <a:extLst>
            <a:ext uri="{FF2B5EF4-FFF2-40B4-BE49-F238E27FC236}">
              <a16:creationId xmlns:a16="http://schemas.microsoft.com/office/drawing/2014/main" id="{8C3D3323-F16D-2833-B476-A3F848C5EA51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622" name="Textfeld 621">
          <a:extLst>
            <a:ext uri="{FF2B5EF4-FFF2-40B4-BE49-F238E27FC236}">
              <a16:creationId xmlns:a16="http://schemas.microsoft.com/office/drawing/2014/main" id="{938B0AF5-3CA8-CFAF-4041-B352982CB198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623" name="Textfeld 622">
          <a:extLst>
            <a:ext uri="{FF2B5EF4-FFF2-40B4-BE49-F238E27FC236}">
              <a16:creationId xmlns:a16="http://schemas.microsoft.com/office/drawing/2014/main" id="{640EC9EA-0858-88F3-0613-FD668F8BD619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624" name="Textfeld 623">
          <a:extLst>
            <a:ext uri="{FF2B5EF4-FFF2-40B4-BE49-F238E27FC236}">
              <a16:creationId xmlns:a16="http://schemas.microsoft.com/office/drawing/2014/main" id="{C585970F-47D9-298A-218A-ABA78AD8F703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625" name="Textfeld 624">
          <a:extLst>
            <a:ext uri="{FF2B5EF4-FFF2-40B4-BE49-F238E27FC236}">
              <a16:creationId xmlns:a16="http://schemas.microsoft.com/office/drawing/2014/main" id="{740C5615-5F7A-1E82-06C1-4A7007E1496E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626" name="Textfeld 625">
          <a:extLst>
            <a:ext uri="{FF2B5EF4-FFF2-40B4-BE49-F238E27FC236}">
              <a16:creationId xmlns:a16="http://schemas.microsoft.com/office/drawing/2014/main" id="{D0D33AD1-18FA-3A5F-3E94-F4B73CDC526F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627" name="Textfeld 626">
          <a:extLst>
            <a:ext uri="{FF2B5EF4-FFF2-40B4-BE49-F238E27FC236}">
              <a16:creationId xmlns:a16="http://schemas.microsoft.com/office/drawing/2014/main" id="{0A16D63A-DE56-D5C0-A694-4AF2F1FDE82C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628" name="Textfeld 627">
          <a:extLst>
            <a:ext uri="{FF2B5EF4-FFF2-40B4-BE49-F238E27FC236}">
              <a16:creationId xmlns:a16="http://schemas.microsoft.com/office/drawing/2014/main" id="{6E14874A-AD38-F71B-7BF4-A75A6E4CF17F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629" name="Textfeld 628">
          <a:extLst>
            <a:ext uri="{FF2B5EF4-FFF2-40B4-BE49-F238E27FC236}">
              <a16:creationId xmlns:a16="http://schemas.microsoft.com/office/drawing/2014/main" id="{C1056207-082B-9AFE-46C0-CB16BF83DEDC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630" name="Textfeld 629">
          <a:extLst>
            <a:ext uri="{FF2B5EF4-FFF2-40B4-BE49-F238E27FC236}">
              <a16:creationId xmlns:a16="http://schemas.microsoft.com/office/drawing/2014/main" id="{5431FAEE-FA8E-3D63-9B47-9B20B6B2FA88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631" name="Textfeld 630">
          <a:extLst>
            <a:ext uri="{FF2B5EF4-FFF2-40B4-BE49-F238E27FC236}">
              <a16:creationId xmlns:a16="http://schemas.microsoft.com/office/drawing/2014/main" id="{A96F6113-7FA6-2DA4-CE5D-87F00B3325EF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632" name="Abgerundetes Rechteck 631">
          <a:extLst>
            <a:ext uri="{FF2B5EF4-FFF2-40B4-BE49-F238E27FC236}">
              <a16:creationId xmlns:a16="http://schemas.microsoft.com/office/drawing/2014/main" id="{419F9B59-69B0-DD9C-48D0-A8632C239356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633" name="Textfeld 632">
          <a:extLst>
            <a:ext uri="{FF2B5EF4-FFF2-40B4-BE49-F238E27FC236}">
              <a16:creationId xmlns:a16="http://schemas.microsoft.com/office/drawing/2014/main" id="{1154520F-D078-82B4-47FC-0397A6E7FB45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34" name="Textfeld 633">
          <a:extLst>
            <a:ext uri="{FF2B5EF4-FFF2-40B4-BE49-F238E27FC236}">
              <a16:creationId xmlns:a16="http://schemas.microsoft.com/office/drawing/2014/main" id="{78E40E48-2343-C684-F4D9-BB4DA7E16661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35" name="Textfeld 634">
          <a:extLst>
            <a:ext uri="{FF2B5EF4-FFF2-40B4-BE49-F238E27FC236}">
              <a16:creationId xmlns:a16="http://schemas.microsoft.com/office/drawing/2014/main" id="{179AD63A-FC4F-4052-2B71-1653BA494573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36" name="Textfeld 635">
          <a:extLst>
            <a:ext uri="{FF2B5EF4-FFF2-40B4-BE49-F238E27FC236}">
              <a16:creationId xmlns:a16="http://schemas.microsoft.com/office/drawing/2014/main" id="{A8C22DC8-AD43-427C-A4B6-B348D9EDEA3E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7" name="Textfeld 636">
          <a:extLst>
            <a:ext uri="{FF2B5EF4-FFF2-40B4-BE49-F238E27FC236}">
              <a16:creationId xmlns:a16="http://schemas.microsoft.com/office/drawing/2014/main" id="{02982B8F-4483-EBE4-71BE-8206EF702C2D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638" name="Textfeld 637">
          <a:extLst>
            <a:ext uri="{FF2B5EF4-FFF2-40B4-BE49-F238E27FC236}">
              <a16:creationId xmlns:a16="http://schemas.microsoft.com/office/drawing/2014/main" id="{E3ABD1D2-6B66-85A6-3CAC-04197F6BC9A3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639" name="Textfeld 638">
          <a:extLst>
            <a:ext uri="{FF2B5EF4-FFF2-40B4-BE49-F238E27FC236}">
              <a16:creationId xmlns:a16="http://schemas.microsoft.com/office/drawing/2014/main" id="{533D0134-E5B0-E327-A5BE-C18049CB242D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640" name="Textfeld 639">
          <a:extLst>
            <a:ext uri="{FF2B5EF4-FFF2-40B4-BE49-F238E27FC236}">
              <a16:creationId xmlns:a16="http://schemas.microsoft.com/office/drawing/2014/main" id="{79A06769-36C7-152C-F811-D8577E34B80B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641" name="Textfeld 640">
          <a:extLst>
            <a:ext uri="{FF2B5EF4-FFF2-40B4-BE49-F238E27FC236}">
              <a16:creationId xmlns:a16="http://schemas.microsoft.com/office/drawing/2014/main" id="{BF385EE8-1029-9A6B-7E7C-B8B2C0339D39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644" name="Abgerundetes Rechteck 643">
          <a:extLst>
            <a:ext uri="{FF2B5EF4-FFF2-40B4-BE49-F238E27FC236}">
              <a16:creationId xmlns:a16="http://schemas.microsoft.com/office/drawing/2014/main" id="{4F1B9CBA-DD6F-2B03-19F0-780948A98EAD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645" name="Textfeld 644">
          <a:extLst>
            <a:ext uri="{FF2B5EF4-FFF2-40B4-BE49-F238E27FC236}">
              <a16:creationId xmlns:a16="http://schemas.microsoft.com/office/drawing/2014/main" id="{2852A332-B2B4-ECDA-63D6-57FE25D647F9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646" name="Textfeld 645">
          <a:extLst>
            <a:ext uri="{FF2B5EF4-FFF2-40B4-BE49-F238E27FC236}">
              <a16:creationId xmlns:a16="http://schemas.microsoft.com/office/drawing/2014/main" id="{C99A5632-8D92-A7E1-9335-65503914D109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647" name="Textfeld 646">
          <a:extLst>
            <a:ext uri="{FF2B5EF4-FFF2-40B4-BE49-F238E27FC236}">
              <a16:creationId xmlns:a16="http://schemas.microsoft.com/office/drawing/2014/main" id="{A64F02C3-528A-BC66-3A7A-BE9D3933652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648" name="Textfeld 647">
          <a:extLst>
            <a:ext uri="{FF2B5EF4-FFF2-40B4-BE49-F238E27FC236}">
              <a16:creationId xmlns:a16="http://schemas.microsoft.com/office/drawing/2014/main" id="{A12350E5-304B-D856-5B1D-2D85377C7AC4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649" name="Rechteck 648">
          <a:extLst>
            <a:ext uri="{FF2B5EF4-FFF2-40B4-BE49-F238E27FC236}">
              <a16:creationId xmlns:a16="http://schemas.microsoft.com/office/drawing/2014/main" id="{5341446C-66DF-4949-0E40-F871528796A9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650" name="Textfeld 649">
          <a:extLst>
            <a:ext uri="{FF2B5EF4-FFF2-40B4-BE49-F238E27FC236}">
              <a16:creationId xmlns:a16="http://schemas.microsoft.com/office/drawing/2014/main" id="{11BA6F9B-89E4-05A4-BA78-73400D3B5803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651" name="Textfeld 650">
          <a:extLst>
            <a:ext uri="{FF2B5EF4-FFF2-40B4-BE49-F238E27FC236}">
              <a16:creationId xmlns:a16="http://schemas.microsoft.com/office/drawing/2014/main" id="{B44CA347-2E89-7923-EC3C-C027740345AD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652" name="Textfeld 651">
          <a:extLst>
            <a:ext uri="{FF2B5EF4-FFF2-40B4-BE49-F238E27FC236}">
              <a16:creationId xmlns:a16="http://schemas.microsoft.com/office/drawing/2014/main" id="{DE525392-DE06-8E85-2BAC-70D3F6D4A901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653" name="Textfeld 652">
          <a:extLst>
            <a:ext uri="{FF2B5EF4-FFF2-40B4-BE49-F238E27FC236}">
              <a16:creationId xmlns:a16="http://schemas.microsoft.com/office/drawing/2014/main" id="{8A8DDE39-ECBC-9DEB-6645-0AFB6FDF2360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654" name="Textfeld 653">
          <a:extLst>
            <a:ext uri="{FF2B5EF4-FFF2-40B4-BE49-F238E27FC236}">
              <a16:creationId xmlns:a16="http://schemas.microsoft.com/office/drawing/2014/main" id="{A47E5D00-3B91-573E-6258-6FE0EEC999E5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655" name="Textfeld 654">
          <a:extLst>
            <a:ext uri="{FF2B5EF4-FFF2-40B4-BE49-F238E27FC236}">
              <a16:creationId xmlns:a16="http://schemas.microsoft.com/office/drawing/2014/main" id="{88F3B056-2B13-7145-D2C3-E6BFE842734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656" name="Textfeld 655">
          <a:extLst>
            <a:ext uri="{FF2B5EF4-FFF2-40B4-BE49-F238E27FC236}">
              <a16:creationId xmlns:a16="http://schemas.microsoft.com/office/drawing/2014/main" id="{F10A17DB-2D48-B7F7-55B7-6618B1AFD3C2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657" name="Textfeld 656">
          <a:extLst>
            <a:ext uri="{FF2B5EF4-FFF2-40B4-BE49-F238E27FC236}">
              <a16:creationId xmlns:a16="http://schemas.microsoft.com/office/drawing/2014/main" id="{5EDFA4D6-791C-ED37-61DC-5BC86C05DB24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658" name="Textfeld 657">
          <a:extLst>
            <a:ext uri="{FF2B5EF4-FFF2-40B4-BE49-F238E27FC236}">
              <a16:creationId xmlns:a16="http://schemas.microsoft.com/office/drawing/2014/main" id="{CFB3D3F7-10FC-1EC2-936D-D70D83957D09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659" name="Textfeld 658">
          <a:extLst>
            <a:ext uri="{FF2B5EF4-FFF2-40B4-BE49-F238E27FC236}">
              <a16:creationId xmlns:a16="http://schemas.microsoft.com/office/drawing/2014/main" id="{8855E607-D8C9-97EB-66C1-83DBF92A12A6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660" name="Textfeld 659">
          <a:extLst>
            <a:ext uri="{FF2B5EF4-FFF2-40B4-BE49-F238E27FC236}">
              <a16:creationId xmlns:a16="http://schemas.microsoft.com/office/drawing/2014/main" id="{3B254641-E0E1-3D2E-C9EC-85A92F49527B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661" name="Textfeld 660">
          <a:extLst>
            <a:ext uri="{FF2B5EF4-FFF2-40B4-BE49-F238E27FC236}">
              <a16:creationId xmlns:a16="http://schemas.microsoft.com/office/drawing/2014/main" id="{1A39A55E-EE77-D7C5-B8DD-EE0BBA1ECDE1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662" name="Abgerundetes Rechteck 661">
          <a:extLst>
            <a:ext uri="{FF2B5EF4-FFF2-40B4-BE49-F238E27FC236}">
              <a16:creationId xmlns:a16="http://schemas.microsoft.com/office/drawing/2014/main" id="{FCBA8ABB-6D98-5CEF-087C-DAC8A46AD79F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663" name="Textfeld 662">
          <a:extLst>
            <a:ext uri="{FF2B5EF4-FFF2-40B4-BE49-F238E27FC236}">
              <a16:creationId xmlns:a16="http://schemas.microsoft.com/office/drawing/2014/main" id="{4331DAC9-FB03-2B30-9F7A-AF37C874B324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664" name="Textfeld 663">
          <a:extLst>
            <a:ext uri="{FF2B5EF4-FFF2-40B4-BE49-F238E27FC236}">
              <a16:creationId xmlns:a16="http://schemas.microsoft.com/office/drawing/2014/main" id="{8D5274D7-B23A-D176-81F7-4DD959515D03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665" name="Textfeld 664">
          <a:extLst>
            <a:ext uri="{FF2B5EF4-FFF2-40B4-BE49-F238E27FC236}">
              <a16:creationId xmlns:a16="http://schemas.microsoft.com/office/drawing/2014/main" id="{6046F071-7262-B300-881C-B250A1CAA930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666" name="Textfeld 665">
          <a:extLst>
            <a:ext uri="{FF2B5EF4-FFF2-40B4-BE49-F238E27FC236}">
              <a16:creationId xmlns:a16="http://schemas.microsoft.com/office/drawing/2014/main" id="{537546B1-F76A-AADA-FC78-15727A4A8F22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667" name="Textfeld 666">
          <a:extLst>
            <a:ext uri="{FF2B5EF4-FFF2-40B4-BE49-F238E27FC236}">
              <a16:creationId xmlns:a16="http://schemas.microsoft.com/office/drawing/2014/main" id="{921F8549-9B8D-8517-104B-37B74E5641BB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668" name="Textfeld 667">
          <a:extLst>
            <a:ext uri="{FF2B5EF4-FFF2-40B4-BE49-F238E27FC236}">
              <a16:creationId xmlns:a16="http://schemas.microsoft.com/office/drawing/2014/main" id="{974CE66F-D684-0AE5-A0E9-BDF74E009427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669" name="Rechteck 668">
          <a:extLst>
            <a:ext uri="{FF2B5EF4-FFF2-40B4-BE49-F238E27FC236}">
              <a16:creationId xmlns:a16="http://schemas.microsoft.com/office/drawing/2014/main" id="{5F3E4F31-C91E-B7EC-4920-213618370BB9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670" name="Textfeld 669">
          <a:extLst>
            <a:ext uri="{FF2B5EF4-FFF2-40B4-BE49-F238E27FC236}">
              <a16:creationId xmlns:a16="http://schemas.microsoft.com/office/drawing/2014/main" id="{333C16D8-685B-2ADB-2D18-2CE0C73928A2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671" name="Textfeld 670">
          <a:extLst>
            <a:ext uri="{FF2B5EF4-FFF2-40B4-BE49-F238E27FC236}">
              <a16:creationId xmlns:a16="http://schemas.microsoft.com/office/drawing/2014/main" id="{00A4FC62-5CF6-FEF0-474E-202A22B559D9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672" name="Textfeld 671">
          <a:extLst>
            <a:ext uri="{FF2B5EF4-FFF2-40B4-BE49-F238E27FC236}">
              <a16:creationId xmlns:a16="http://schemas.microsoft.com/office/drawing/2014/main" id="{F743D676-379F-2D24-757E-1B7436485ED4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673" name="Textfeld 672">
          <a:extLst>
            <a:ext uri="{FF2B5EF4-FFF2-40B4-BE49-F238E27FC236}">
              <a16:creationId xmlns:a16="http://schemas.microsoft.com/office/drawing/2014/main" id="{0A753A53-DEB5-7665-E883-4CF7D46F7C62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674" name="Textfeld 673">
          <a:extLst>
            <a:ext uri="{FF2B5EF4-FFF2-40B4-BE49-F238E27FC236}">
              <a16:creationId xmlns:a16="http://schemas.microsoft.com/office/drawing/2014/main" id="{82194D2E-DCA8-4D0D-2675-326616F6FB64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20,2%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675" name="Textfeld 674">
          <a:extLst>
            <a:ext uri="{FF2B5EF4-FFF2-40B4-BE49-F238E27FC236}">
              <a16:creationId xmlns:a16="http://schemas.microsoft.com/office/drawing/2014/main" id="{1A3350A7-CEE3-F0AC-C4C5-4B1C81E9BD25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676" name="Textfeld 675">
          <a:extLst>
            <a:ext uri="{FF2B5EF4-FFF2-40B4-BE49-F238E27FC236}">
              <a16:creationId xmlns:a16="http://schemas.microsoft.com/office/drawing/2014/main" id="{6104DACA-592E-4241-B039-FBA57A7311EB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677" name="Textfeld 676">
          <a:extLst>
            <a:ext uri="{FF2B5EF4-FFF2-40B4-BE49-F238E27FC236}">
              <a16:creationId xmlns:a16="http://schemas.microsoft.com/office/drawing/2014/main" id="{EE0864F8-7734-1F63-E12E-D24B76FD20A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678" name="Textfeld 677">
          <a:extLst>
            <a:ext uri="{FF2B5EF4-FFF2-40B4-BE49-F238E27FC236}">
              <a16:creationId xmlns:a16="http://schemas.microsoft.com/office/drawing/2014/main" id="{CB5390A0-FB46-25E3-1897-5F248CD55CD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679" name="Textfeld 678">
          <a:extLst>
            <a:ext uri="{FF2B5EF4-FFF2-40B4-BE49-F238E27FC236}">
              <a16:creationId xmlns:a16="http://schemas.microsoft.com/office/drawing/2014/main" id="{3C789C72-D604-7422-AFF7-AA3152F831CE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680" name="Abgerundetes Rechteck 679">
          <a:extLst>
            <a:ext uri="{FF2B5EF4-FFF2-40B4-BE49-F238E27FC236}">
              <a16:creationId xmlns:a16="http://schemas.microsoft.com/office/drawing/2014/main" id="{7AEFB46B-503B-073C-920D-3DBDBD0AD708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681" name="Textfeld 680">
          <a:extLst>
            <a:ext uri="{FF2B5EF4-FFF2-40B4-BE49-F238E27FC236}">
              <a16:creationId xmlns:a16="http://schemas.microsoft.com/office/drawing/2014/main" id="{DAE003DF-36C9-AEB9-2D1F-83C5CA9CF11C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682" name="Textfeld 681">
          <a:extLst>
            <a:ext uri="{FF2B5EF4-FFF2-40B4-BE49-F238E27FC236}">
              <a16:creationId xmlns:a16="http://schemas.microsoft.com/office/drawing/2014/main" id="{73F5FC7C-1E7B-C631-82FF-9E781341275C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683" name="Textfeld 682">
          <a:extLst>
            <a:ext uri="{FF2B5EF4-FFF2-40B4-BE49-F238E27FC236}">
              <a16:creationId xmlns:a16="http://schemas.microsoft.com/office/drawing/2014/main" id="{09919A46-2B79-BDEF-EAAD-08D7038FE759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684" name="Textfeld 683">
          <a:extLst>
            <a:ext uri="{FF2B5EF4-FFF2-40B4-BE49-F238E27FC236}">
              <a16:creationId xmlns:a16="http://schemas.microsoft.com/office/drawing/2014/main" id="{BA0CD44D-E0F9-D69F-3D23-280A34FA841B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685" name="Rechteck 684">
          <a:extLst>
            <a:ext uri="{FF2B5EF4-FFF2-40B4-BE49-F238E27FC236}">
              <a16:creationId xmlns:a16="http://schemas.microsoft.com/office/drawing/2014/main" id="{30B8C43E-F090-F271-F064-9900CFFE2E10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686" name="Textfeld 685">
          <a:extLst>
            <a:ext uri="{FF2B5EF4-FFF2-40B4-BE49-F238E27FC236}">
              <a16:creationId xmlns:a16="http://schemas.microsoft.com/office/drawing/2014/main" id="{782C4402-F5BE-8A1D-2E8D-E5BEC323A4E2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687" name="Textfeld 686">
          <a:extLst>
            <a:ext uri="{FF2B5EF4-FFF2-40B4-BE49-F238E27FC236}">
              <a16:creationId xmlns:a16="http://schemas.microsoft.com/office/drawing/2014/main" id="{FF420AA6-668E-F3D1-43FD-0AF63B165EAD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688" name="Textfeld 687">
          <a:extLst>
            <a:ext uri="{FF2B5EF4-FFF2-40B4-BE49-F238E27FC236}">
              <a16:creationId xmlns:a16="http://schemas.microsoft.com/office/drawing/2014/main" id="{4A6250D0-A552-57C6-6792-44F3357E606B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689" name="Textfeld 688">
          <a:extLst>
            <a:ext uri="{FF2B5EF4-FFF2-40B4-BE49-F238E27FC236}">
              <a16:creationId xmlns:a16="http://schemas.microsoft.com/office/drawing/2014/main" id="{C340B851-04B9-3740-7009-254D46ECE894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690" name="Textfeld 689">
          <a:extLst>
            <a:ext uri="{FF2B5EF4-FFF2-40B4-BE49-F238E27FC236}">
              <a16:creationId xmlns:a16="http://schemas.microsoft.com/office/drawing/2014/main" id="{D5109269-6D10-44D7-2ACB-AB9A1772735C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691" name="Textfeld 690">
          <a:extLst>
            <a:ext uri="{FF2B5EF4-FFF2-40B4-BE49-F238E27FC236}">
              <a16:creationId xmlns:a16="http://schemas.microsoft.com/office/drawing/2014/main" id="{B46F5AC3-9769-408B-232A-779BC440A466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9,0%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692" name="Textfeld 691">
          <a:extLst>
            <a:ext uri="{FF2B5EF4-FFF2-40B4-BE49-F238E27FC236}">
              <a16:creationId xmlns:a16="http://schemas.microsoft.com/office/drawing/2014/main" id="{6AEB01E5-A7D0-F981-B0C9-8CA03347F557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693" name="Textfeld 692">
          <a:extLst>
            <a:ext uri="{FF2B5EF4-FFF2-40B4-BE49-F238E27FC236}">
              <a16:creationId xmlns:a16="http://schemas.microsoft.com/office/drawing/2014/main" id="{40F03DC7-4ECB-C5B8-F6E9-E36FD0D36E5D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694" name="Textfeld 693">
          <a:extLst>
            <a:ext uri="{FF2B5EF4-FFF2-40B4-BE49-F238E27FC236}">
              <a16:creationId xmlns:a16="http://schemas.microsoft.com/office/drawing/2014/main" id="{560F7D67-1677-56C8-9055-55B6FDCF718D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695" name="Textfeld 694">
          <a:extLst>
            <a:ext uri="{FF2B5EF4-FFF2-40B4-BE49-F238E27FC236}">
              <a16:creationId xmlns:a16="http://schemas.microsoft.com/office/drawing/2014/main" id="{6375730D-F61A-34DE-9AFE-52D50C3A48E0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696" name="Textfeld 695">
          <a:extLst>
            <a:ext uri="{FF2B5EF4-FFF2-40B4-BE49-F238E27FC236}">
              <a16:creationId xmlns:a16="http://schemas.microsoft.com/office/drawing/2014/main" id="{DCBBC16A-8B1F-1A25-B407-F1E0BF6437B0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697" name="Textfeld 696">
          <a:extLst>
            <a:ext uri="{FF2B5EF4-FFF2-40B4-BE49-F238E27FC236}">
              <a16:creationId xmlns:a16="http://schemas.microsoft.com/office/drawing/2014/main" id="{C4FA84E3-4638-8175-CBFC-94D197B25252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8,2%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698" name="Textfeld 697">
          <a:extLst>
            <a:ext uri="{FF2B5EF4-FFF2-40B4-BE49-F238E27FC236}">
              <a16:creationId xmlns:a16="http://schemas.microsoft.com/office/drawing/2014/main" id="{DFA76542-19C9-B72A-BE58-99AE28FC2D49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699" name="Textfeld 698">
          <a:extLst>
            <a:ext uri="{FF2B5EF4-FFF2-40B4-BE49-F238E27FC236}">
              <a16:creationId xmlns:a16="http://schemas.microsoft.com/office/drawing/2014/main" id="{BFEA5FB5-39D1-616A-74E5-B7E702F5CAC1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700" name="Textfeld 699">
          <a:extLst>
            <a:ext uri="{FF2B5EF4-FFF2-40B4-BE49-F238E27FC236}">
              <a16:creationId xmlns:a16="http://schemas.microsoft.com/office/drawing/2014/main" id="{70497C87-4E67-84FC-12C9-C686E81B87B1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701" name="Textfeld 700">
          <a:extLst>
            <a:ext uri="{FF2B5EF4-FFF2-40B4-BE49-F238E27FC236}">
              <a16:creationId xmlns:a16="http://schemas.microsoft.com/office/drawing/2014/main" id="{38A64657-A0FE-77F1-2472-A4601B603B17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702" name="Textfeld 701">
          <a:extLst>
            <a:ext uri="{FF2B5EF4-FFF2-40B4-BE49-F238E27FC236}">
              <a16:creationId xmlns:a16="http://schemas.microsoft.com/office/drawing/2014/main" id="{99F51FC3-38E7-650C-41A4-959D0767E36B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102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703" name="Textfeld 702">
          <a:extLst>
            <a:ext uri="{FF2B5EF4-FFF2-40B4-BE49-F238E27FC236}">
              <a16:creationId xmlns:a16="http://schemas.microsoft.com/office/drawing/2014/main" id="{0AD48DB6-EFE5-D51F-1501-A8BE9361C33D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76,1%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704" name="Textfeld 703">
          <a:extLst>
            <a:ext uri="{FF2B5EF4-FFF2-40B4-BE49-F238E27FC236}">
              <a16:creationId xmlns:a16="http://schemas.microsoft.com/office/drawing/2014/main" id="{65F8F38A-0B38-49E3-E1FA-6F8AE0DA742D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705" name="Textfeld 704">
          <a:extLst>
            <a:ext uri="{FF2B5EF4-FFF2-40B4-BE49-F238E27FC236}">
              <a16:creationId xmlns:a16="http://schemas.microsoft.com/office/drawing/2014/main" id="{49F152A2-F3FD-E4ED-830B-005FEC711C32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134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0" totalsRowShown="0">
  <autoFilter ref="A6:S140" xr:uid="{0A7F67A6-78F8-F84A-8AA6-2B299051C032}"/>
  <tableColumns count="19">
    <tableColumn id="1" xr3:uid="{F39B1125-7EF7-E64D-9442-E25983ED7A52}" name="Monat Lead erhalten" dataDxfId="31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30"/>
    <tableColumn id="7" xr3:uid="{E3696A96-2F5B-124F-832E-72A6E1ACB867}" name="Ort" dataDxfId="29"/>
    <tableColumn id="8" xr3:uid="{5245E043-2603-C146-BECE-B4B1D73540C7}" name="Telefonnummer" dataDxfId="28"/>
    <tableColumn id="9" xr3:uid="{B9060812-064F-614D-B7E2-8C8E14C622A4}" name="PG"/>
    <tableColumn id="10" xr3:uid="{31CDA6EB-66B9-D14C-B933-A078E77F7B6D}" name="Letzter Kontakt" dataDxfId="27"/>
    <tableColumn id="11" xr3:uid="{A6F04678-3C43-9243-97D3-DF4F9C9BD39E}" name="Nächster Kontakt" dataDxfId="26"/>
    <tableColumn id="12" xr3:uid="{326D167F-2621-0B44-87C5-B4CFDDAEA4EA}" name="Notizen" dataDxfId="25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F33" totalsRowShown="0" headerRowDxfId="24" dataDxfId="23" headerRowCellStyle="Standard 5" dataCellStyle="Standard 5">
  <autoFilter ref="A1:F33" xr:uid="{B7CE6C6F-C063-3447-94DD-D9B916A0E6EF}"/>
  <tableColumns count="6">
    <tableColumn id="1" xr3:uid="{9CDBB367-D969-9A47-88B8-8DCA85C625AA}" name="⚠" dataDxfId="22" dataCellStyle="Standard 5"/>
    <tableColumn id="2" xr3:uid="{D6808694-29F1-294E-BC5F-6B4E034AEAC6}" name="Typ" dataDxfId="21" dataCellStyle="Standard 5"/>
    <tableColumn id="3" xr3:uid="{3017C920-4AB7-1647-9DF7-17BA8E17C3BC}" name="Zeitstempel" dataDxfId="20" dataCellStyle="Standard 5"/>
    <tableColumn id="4" xr3:uid="{88B77895-9B8C-7542-841B-7969BCCD3B5F}" name="Meldung" dataDxfId="19" dataCellStyle="Standard 5"/>
    <tableColumn id="5" xr3:uid="{135C4756-218E-C744-ABC4-9501F1E3A00A}" name="Details / Ursache" dataDxfId="18" dataCellStyle="Standard 5"/>
    <tableColumn id="6" xr3:uid="{14A0F76D-8328-D343-9719-30F1EFBE212A}" name="Aktion" dataDxfId="17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0"/>
  <sheetViews>
    <sheetView showGridLines="0" tabSelected="1" workbookViewId="0">
      <pane xSplit="8" ySplit="6" topLeftCell="I7" activePane="bottomRight" state="frozen"/>
      <selection pane="topRight" activeCell="I1" sqref="I1"/>
      <selection pane="bottomLeft" activeCell="A7" sqref="A7"/>
      <selection pane="bottomRight" activeCell="B26" sqref="B26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9"/>
    </row>
    <row r="3" spans="1:19" ht="16" customHeight="1" x14ac:dyDescent="0.2">
      <c r="B3" s="20">
        <v>46072.767361111109</v>
      </c>
    </row>
    <row r="4" spans="1:19" ht="16" customHeight="1" x14ac:dyDescent="0.2"/>
    <row r="5" spans="1:19" ht="16" customHeight="1" x14ac:dyDescent="0.2">
      <c r="B5">
        <f ca="1">($B7&lt;&gt;"Geschlossen")*($K7&lt;HEUTE())</f>
        <v>1</v>
      </c>
    </row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7178</v>
      </c>
      <c r="C7" t="s">
        <v>20</v>
      </c>
      <c r="D7" t="s">
        <v>21</v>
      </c>
      <c r="E7" t="s">
        <v>22</v>
      </c>
      <c r="F7" s="2"/>
      <c r="G7" t="s">
        <v>7201</v>
      </c>
      <c r="H7" s="17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2572</v>
      </c>
      <c r="H8" s="18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8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8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8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2734</v>
      </c>
      <c r="H12" s="18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8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2582</v>
      </c>
      <c r="H14" s="18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8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7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2553</v>
      </c>
      <c r="H17" s="18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8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8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2597</v>
      </c>
      <c r="H20" s="18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8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7201</v>
      </c>
      <c r="H22" s="17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8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8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2598</v>
      </c>
      <c r="H25" s="17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2598</v>
      </c>
      <c r="H26" s="17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8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8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8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8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8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2560</v>
      </c>
      <c r="H32" s="18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7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7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2546</v>
      </c>
      <c r="H35" s="17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7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7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8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7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2553</v>
      </c>
      <c r="H40" s="17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7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7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7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7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8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2702</v>
      </c>
      <c r="H46" s="17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2702</v>
      </c>
      <c r="H47" s="17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8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2735</v>
      </c>
      <c r="H49" s="17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2572</v>
      </c>
      <c r="H50" s="18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8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8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2565</v>
      </c>
      <c r="H53" s="18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2593</v>
      </c>
      <c r="H54" s="18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2593</v>
      </c>
      <c r="H55" s="17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8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8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8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2598</v>
      </c>
      <c r="H59" s="17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2550</v>
      </c>
      <c r="H60" s="18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2597</v>
      </c>
      <c r="H61" s="18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7201</v>
      </c>
      <c r="H62" s="17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8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8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8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7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7201</v>
      </c>
      <c r="H67" s="17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7201</v>
      </c>
      <c r="H68" s="17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8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8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8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8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ht="17" x14ac:dyDescent="0.2">
      <c r="A73" s="1">
        <v>46065</v>
      </c>
      <c r="B73" t="s">
        <v>137</v>
      </c>
      <c r="C73" t="s">
        <v>26</v>
      </c>
      <c r="D73" t="s">
        <v>203</v>
      </c>
      <c r="F73" s="2">
        <v>84032</v>
      </c>
      <c r="G73" t="s">
        <v>2757</v>
      </c>
      <c r="H73" s="17" t="s">
        <v>204</v>
      </c>
      <c r="I73">
        <v>2</v>
      </c>
      <c r="J73" s="1">
        <v>46066</v>
      </c>
      <c r="K73" s="1">
        <v>46066</v>
      </c>
      <c r="L73" s="12" t="s">
        <v>205</v>
      </c>
      <c r="M73" t="s">
        <v>107</v>
      </c>
    </row>
    <row r="74" spans="1:17" x14ac:dyDescent="0.2">
      <c r="A74" s="1">
        <v>46048</v>
      </c>
      <c r="B74" t="s">
        <v>34</v>
      </c>
      <c r="C74" t="s">
        <v>32</v>
      </c>
      <c r="D74" t="s">
        <v>206</v>
      </c>
      <c r="F74" s="2">
        <v>85748</v>
      </c>
      <c r="G74" t="s">
        <v>2546</v>
      </c>
      <c r="H74" s="18">
        <v>1733534705</v>
      </c>
      <c r="I74">
        <v>1</v>
      </c>
      <c r="J74" s="1">
        <v>46064</v>
      </c>
      <c r="K74" s="1"/>
      <c r="L74" s="12"/>
      <c r="M74" t="s">
        <v>107</v>
      </c>
    </row>
    <row r="75" spans="1:17" x14ac:dyDescent="0.2">
      <c r="A75" s="1">
        <v>46048</v>
      </c>
      <c r="B75" t="s">
        <v>34</v>
      </c>
      <c r="C75" t="s">
        <v>26</v>
      </c>
      <c r="D75" t="s">
        <v>207</v>
      </c>
      <c r="E75" t="s">
        <v>208</v>
      </c>
      <c r="F75" s="2">
        <v>81673</v>
      </c>
      <c r="G75" t="s">
        <v>48</v>
      </c>
      <c r="H75" s="17" t="s">
        <v>209</v>
      </c>
      <c r="I75">
        <v>2</v>
      </c>
      <c r="J75" s="1">
        <v>46050</v>
      </c>
      <c r="K75" s="1"/>
      <c r="L75" s="12"/>
      <c r="M75" t="s">
        <v>107</v>
      </c>
    </row>
    <row r="76" spans="1:17" x14ac:dyDescent="0.2">
      <c r="A76" s="1">
        <v>46048</v>
      </c>
      <c r="B76" t="s">
        <v>19</v>
      </c>
      <c r="C76" t="s">
        <v>26</v>
      </c>
      <c r="D76" t="s">
        <v>210</v>
      </c>
      <c r="F76" s="2"/>
      <c r="G76" t="s">
        <v>7201</v>
      </c>
      <c r="H76" s="18">
        <v>1608389788</v>
      </c>
      <c r="I76">
        <v>3</v>
      </c>
      <c r="J76" s="1">
        <v>46048</v>
      </c>
      <c r="K76" s="1"/>
      <c r="L76" s="12"/>
      <c r="M76" t="s">
        <v>153</v>
      </c>
      <c r="N76" t="s">
        <v>29</v>
      </c>
      <c r="O76" t="s">
        <v>211</v>
      </c>
    </row>
    <row r="77" spans="1:17" x14ac:dyDescent="0.2">
      <c r="A77" s="1">
        <v>46048</v>
      </c>
      <c r="B77" t="s">
        <v>19</v>
      </c>
      <c r="C77" t="s">
        <v>26</v>
      </c>
      <c r="D77" t="s">
        <v>212</v>
      </c>
      <c r="F77" s="2">
        <v>85521</v>
      </c>
      <c r="G77" t="s">
        <v>2553</v>
      </c>
      <c r="H77" s="17" t="s">
        <v>213</v>
      </c>
      <c r="I77">
        <v>3</v>
      </c>
      <c r="J77" s="1"/>
      <c r="K77" s="1"/>
      <c r="L77" s="12"/>
      <c r="M77" t="s">
        <v>25</v>
      </c>
    </row>
    <row r="78" spans="1:17" x14ac:dyDescent="0.2">
      <c r="A78" s="1">
        <v>46048</v>
      </c>
      <c r="B78" t="s">
        <v>19</v>
      </c>
      <c r="C78" t="s">
        <v>26</v>
      </c>
      <c r="D78" t="s">
        <v>214</v>
      </c>
      <c r="F78" s="2">
        <v>85301</v>
      </c>
      <c r="G78" t="s">
        <v>215</v>
      </c>
      <c r="H78" s="17" t="s">
        <v>216</v>
      </c>
      <c r="I78">
        <v>1</v>
      </c>
      <c r="J78" s="1"/>
      <c r="K78" s="1"/>
      <c r="L78" s="12"/>
      <c r="M78" t="s">
        <v>28</v>
      </c>
      <c r="N78" t="s">
        <v>29</v>
      </c>
      <c r="O78" t="s">
        <v>211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81927</v>
      </c>
      <c r="G79" t="s">
        <v>48</v>
      </c>
      <c r="H79" s="18">
        <v>1792955745</v>
      </c>
      <c r="I79">
        <v>5</v>
      </c>
      <c r="J79" s="1">
        <v>46051</v>
      </c>
      <c r="K79" s="1"/>
      <c r="L79" s="12" t="s">
        <v>218</v>
      </c>
      <c r="M79" t="s">
        <v>153</v>
      </c>
      <c r="N79" t="s">
        <v>29</v>
      </c>
      <c r="O79" t="s">
        <v>219</v>
      </c>
    </row>
    <row r="80" spans="1:17" ht="17" x14ac:dyDescent="0.2">
      <c r="A80" s="1">
        <v>46048</v>
      </c>
      <c r="B80" t="s">
        <v>19</v>
      </c>
      <c r="C80" t="s">
        <v>26</v>
      </c>
      <c r="D80" t="s">
        <v>220</v>
      </c>
      <c r="F80" s="2">
        <v>85406</v>
      </c>
      <c r="G80" t="s">
        <v>2592</v>
      </c>
      <c r="H80" s="17" t="s">
        <v>221</v>
      </c>
      <c r="I80">
        <v>2</v>
      </c>
      <c r="J80" s="1">
        <v>46050</v>
      </c>
      <c r="K80" s="1">
        <v>46051</v>
      </c>
      <c r="L80" s="12" t="s">
        <v>200</v>
      </c>
      <c r="M80" t="s">
        <v>28</v>
      </c>
      <c r="N80" t="s">
        <v>29</v>
      </c>
      <c r="O80" t="s">
        <v>64</v>
      </c>
    </row>
    <row r="81" spans="1:17" x14ac:dyDescent="0.2">
      <c r="A81" s="1">
        <v>46049</v>
      </c>
      <c r="B81" t="s">
        <v>34</v>
      </c>
      <c r="C81" t="s">
        <v>32</v>
      </c>
      <c r="D81" t="s">
        <v>222</v>
      </c>
      <c r="F81" s="2">
        <v>85604</v>
      </c>
      <c r="G81" t="s">
        <v>223</v>
      </c>
      <c r="H81" s="18">
        <v>4915231813533</v>
      </c>
      <c r="I81">
        <v>1</v>
      </c>
      <c r="J81" s="1">
        <v>46049</v>
      </c>
      <c r="K81" s="1"/>
      <c r="L81" s="12"/>
      <c r="M81" t="s">
        <v>107</v>
      </c>
    </row>
    <row r="82" spans="1:17" ht="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85356</v>
      </c>
      <c r="G82" t="s">
        <v>109</v>
      </c>
      <c r="H82" s="17" t="s">
        <v>225</v>
      </c>
      <c r="I82">
        <v>3</v>
      </c>
      <c r="J82" s="1">
        <v>46049</v>
      </c>
      <c r="K82" s="1"/>
      <c r="L82" s="12" t="s">
        <v>226</v>
      </c>
      <c r="M82" t="s">
        <v>28</v>
      </c>
      <c r="N82" t="s">
        <v>29</v>
      </c>
      <c r="O82" t="s">
        <v>78</v>
      </c>
    </row>
    <row r="83" spans="1:17" x14ac:dyDescent="0.2">
      <c r="A83" s="1">
        <v>46049</v>
      </c>
      <c r="B83" t="s">
        <v>19</v>
      </c>
      <c r="C83" t="s">
        <v>26</v>
      </c>
      <c r="D83" t="s">
        <v>227</v>
      </c>
      <c r="F83" s="2">
        <v>85604</v>
      </c>
      <c r="G83" t="s">
        <v>223</v>
      </c>
      <c r="H83" s="17" t="s">
        <v>228</v>
      </c>
      <c r="I83">
        <v>2</v>
      </c>
      <c r="J83" s="1">
        <v>46049</v>
      </c>
      <c r="K83" s="1"/>
      <c r="L83" s="12"/>
      <c r="M83" t="s">
        <v>25</v>
      </c>
    </row>
    <row r="84" spans="1:17" x14ac:dyDescent="0.2">
      <c r="A84" s="1">
        <v>46049</v>
      </c>
      <c r="B84" t="s">
        <v>19</v>
      </c>
      <c r="C84" t="s">
        <v>26</v>
      </c>
      <c r="D84" t="s">
        <v>229</v>
      </c>
      <c r="F84" s="2">
        <v>85375</v>
      </c>
      <c r="G84" t="s">
        <v>2597</v>
      </c>
      <c r="H84" s="17" t="s">
        <v>230</v>
      </c>
      <c r="I84">
        <v>3</v>
      </c>
      <c r="J84" s="1">
        <v>46056</v>
      </c>
      <c r="K84" s="1">
        <v>46057</v>
      </c>
      <c r="L84" s="12"/>
      <c r="M84" t="s">
        <v>153</v>
      </c>
      <c r="N84" t="s">
        <v>137</v>
      </c>
      <c r="O84" t="s">
        <v>64</v>
      </c>
    </row>
    <row r="85" spans="1:17" x14ac:dyDescent="0.2">
      <c r="A85" s="1">
        <v>46049</v>
      </c>
      <c r="B85" t="s">
        <v>19</v>
      </c>
      <c r="C85" t="s">
        <v>26</v>
      </c>
      <c r="D85" t="s">
        <v>231</v>
      </c>
      <c r="F85" s="2">
        <v>85521</v>
      </c>
      <c r="G85" t="s">
        <v>2553</v>
      </c>
      <c r="H85" s="17" t="s">
        <v>213</v>
      </c>
      <c r="I85">
        <v>3</v>
      </c>
      <c r="J85" s="1"/>
      <c r="K85" s="1"/>
      <c r="L85" s="12"/>
      <c r="M85" t="s">
        <v>28</v>
      </c>
      <c r="N85" t="s">
        <v>29</v>
      </c>
      <c r="O85" t="s">
        <v>171</v>
      </c>
    </row>
    <row r="86" spans="1:17" x14ac:dyDescent="0.2">
      <c r="A86" s="1">
        <v>46049</v>
      </c>
      <c r="B86" t="s">
        <v>19</v>
      </c>
      <c r="C86" t="s">
        <v>26</v>
      </c>
      <c r="D86" t="s">
        <v>232</v>
      </c>
      <c r="F86" s="2">
        <v>81379</v>
      </c>
      <c r="G86" t="s">
        <v>48</v>
      </c>
      <c r="H86" s="17" t="s">
        <v>233</v>
      </c>
      <c r="I86">
        <v>2</v>
      </c>
      <c r="J86" s="1">
        <v>46049</v>
      </c>
      <c r="K86" s="1"/>
      <c r="L86" s="12"/>
      <c r="M86" t="s">
        <v>28</v>
      </c>
      <c r="O86" t="s">
        <v>78</v>
      </c>
      <c r="Q86" t="s">
        <v>25</v>
      </c>
    </row>
    <row r="87" spans="1:17" ht="17" x14ac:dyDescent="0.2">
      <c r="A87" s="1">
        <v>46049</v>
      </c>
      <c r="B87" t="s">
        <v>19</v>
      </c>
      <c r="C87" t="s">
        <v>26</v>
      </c>
      <c r="D87" t="s">
        <v>234</v>
      </c>
      <c r="F87" s="2">
        <v>81545</v>
      </c>
      <c r="G87" t="s">
        <v>48</v>
      </c>
      <c r="H87" s="17" t="s">
        <v>235</v>
      </c>
      <c r="I87">
        <v>2</v>
      </c>
      <c r="J87" s="1">
        <v>46055</v>
      </c>
      <c r="K87" s="1"/>
      <c r="L87" s="12" t="s">
        <v>236</v>
      </c>
      <c r="M87" t="s">
        <v>153</v>
      </c>
    </row>
    <row r="88" spans="1:17" x14ac:dyDescent="0.2">
      <c r="A88" s="1">
        <v>46050</v>
      </c>
      <c r="B88" t="s">
        <v>19</v>
      </c>
      <c r="C88" t="s">
        <v>32</v>
      </c>
      <c r="D88" t="s">
        <v>237</v>
      </c>
      <c r="F88" s="2">
        <v>85368</v>
      </c>
      <c r="G88" t="s">
        <v>2598</v>
      </c>
      <c r="H88" s="18">
        <v>15151432309</v>
      </c>
      <c r="I88">
        <v>1</v>
      </c>
      <c r="J88" s="1">
        <v>46055</v>
      </c>
      <c r="K88" s="1"/>
      <c r="L88" s="12"/>
      <c r="M88" t="s">
        <v>28</v>
      </c>
      <c r="N88" t="s">
        <v>29</v>
      </c>
      <c r="O88" t="s">
        <v>64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80935</v>
      </c>
      <c r="G89" t="s">
        <v>48</v>
      </c>
      <c r="H89" s="17" t="s">
        <v>239</v>
      </c>
      <c r="I89">
        <v>1</v>
      </c>
      <c r="J89" s="1">
        <v>46056</v>
      </c>
      <c r="K89" s="1">
        <v>46056</v>
      </c>
      <c r="L89" s="12"/>
      <c r="M89" t="s">
        <v>28</v>
      </c>
      <c r="N89" t="s">
        <v>29</v>
      </c>
      <c r="O89" t="s">
        <v>240</v>
      </c>
    </row>
    <row r="90" spans="1:17" x14ac:dyDescent="0.2">
      <c r="A90" s="1">
        <v>46050</v>
      </c>
      <c r="B90" t="s">
        <v>19</v>
      </c>
      <c r="C90" t="s">
        <v>26</v>
      </c>
      <c r="D90" t="s">
        <v>241</v>
      </c>
      <c r="F90" s="2">
        <v>81927</v>
      </c>
      <c r="G90" t="s">
        <v>48</v>
      </c>
      <c r="H90" s="17" t="s">
        <v>242</v>
      </c>
      <c r="I90">
        <v>3</v>
      </c>
      <c r="J90" s="1">
        <v>46055</v>
      </c>
      <c r="K90" s="1"/>
      <c r="L90" s="12"/>
      <c r="M90" t="s">
        <v>28</v>
      </c>
      <c r="N90" t="s">
        <v>29</v>
      </c>
      <c r="O90" t="s">
        <v>64</v>
      </c>
    </row>
    <row r="91" spans="1:17" x14ac:dyDescent="0.2">
      <c r="A91" s="1">
        <v>46050</v>
      </c>
      <c r="B91" t="s">
        <v>19</v>
      </c>
      <c r="C91" t="s">
        <v>26</v>
      </c>
      <c r="D91" t="s">
        <v>92</v>
      </c>
      <c r="F91" s="2"/>
      <c r="G91" t="s">
        <v>7201</v>
      </c>
      <c r="H91" s="17"/>
      <c r="J91" s="1"/>
      <c r="K91" s="1"/>
      <c r="L91" s="12"/>
      <c r="M91" t="s">
        <v>28</v>
      </c>
      <c r="N91" t="s">
        <v>169</v>
      </c>
      <c r="O91" t="s">
        <v>171</v>
      </c>
    </row>
    <row r="92" spans="1:17" x14ac:dyDescent="0.2">
      <c r="A92" s="1">
        <v>46050</v>
      </c>
      <c r="B92" t="s">
        <v>19</v>
      </c>
      <c r="C92" t="s">
        <v>26</v>
      </c>
      <c r="D92" t="s">
        <v>243</v>
      </c>
      <c r="F92" s="2">
        <v>84034</v>
      </c>
      <c r="G92" t="s">
        <v>40</v>
      </c>
      <c r="H92" s="17" t="s">
        <v>244</v>
      </c>
      <c r="I92">
        <v>2</v>
      </c>
      <c r="J92" s="1">
        <v>46050</v>
      </c>
      <c r="K92" s="1"/>
      <c r="L92" s="12"/>
      <c r="M92" t="s">
        <v>25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84036</v>
      </c>
      <c r="G93" t="s">
        <v>40</v>
      </c>
      <c r="H93" s="17" t="s">
        <v>247</v>
      </c>
      <c r="I93">
        <v>2</v>
      </c>
      <c r="J93" s="1">
        <v>46051</v>
      </c>
      <c r="K93" s="1"/>
      <c r="L93" s="12"/>
      <c r="M93" t="s">
        <v>28</v>
      </c>
      <c r="N93" t="s">
        <v>29</v>
      </c>
      <c r="O93" t="s">
        <v>64</v>
      </c>
    </row>
    <row r="94" spans="1:17" x14ac:dyDescent="0.2">
      <c r="A94" s="1">
        <v>46050</v>
      </c>
      <c r="B94" t="s">
        <v>19</v>
      </c>
      <c r="C94" t="s">
        <v>26</v>
      </c>
      <c r="D94" t="s">
        <v>248</v>
      </c>
      <c r="F94" s="2">
        <v>85375</v>
      </c>
      <c r="G94" t="s">
        <v>2597</v>
      </c>
      <c r="H94" s="17"/>
      <c r="J94" s="1"/>
      <c r="K94" s="1"/>
      <c r="L94" s="12"/>
      <c r="M94" t="s">
        <v>28</v>
      </c>
      <c r="N94" t="s">
        <v>169</v>
      </c>
      <c r="O94" t="s">
        <v>249</v>
      </c>
      <c r="Q94" t="s">
        <v>25</v>
      </c>
    </row>
    <row r="95" spans="1:17" x14ac:dyDescent="0.2">
      <c r="A95" s="1">
        <v>46050</v>
      </c>
      <c r="B95" t="s">
        <v>169</v>
      </c>
      <c r="C95" t="s">
        <v>26</v>
      </c>
      <c r="D95" t="s">
        <v>250</v>
      </c>
      <c r="F95" s="2">
        <v>85406</v>
      </c>
      <c r="G95" t="s">
        <v>2592</v>
      </c>
      <c r="H95" s="18">
        <v>17118527077</v>
      </c>
      <c r="I95">
        <v>1</v>
      </c>
      <c r="J95" s="1">
        <v>46066</v>
      </c>
      <c r="K95" s="1">
        <v>46067</v>
      </c>
      <c r="L95" s="12"/>
      <c r="M95" t="s">
        <v>107</v>
      </c>
    </row>
    <row r="96" spans="1:17" x14ac:dyDescent="0.2">
      <c r="A96" s="1">
        <v>46050</v>
      </c>
      <c r="B96" t="s">
        <v>169</v>
      </c>
      <c r="C96" t="s">
        <v>26</v>
      </c>
      <c r="D96" t="s">
        <v>251</v>
      </c>
      <c r="F96" s="2">
        <v>83553</v>
      </c>
      <c r="G96" t="s">
        <v>252</v>
      </c>
      <c r="H96" s="17" t="s">
        <v>253</v>
      </c>
      <c r="I96">
        <v>2</v>
      </c>
      <c r="J96" s="1">
        <v>46066</v>
      </c>
      <c r="K96" s="1">
        <v>46067</v>
      </c>
      <c r="L96" s="12"/>
      <c r="M96" t="s">
        <v>107</v>
      </c>
    </row>
    <row r="97" spans="1:16" ht="17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8">
        <v>8784346</v>
      </c>
      <c r="I97">
        <v>2</v>
      </c>
      <c r="J97" s="1"/>
      <c r="K97" s="1"/>
      <c r="L97" s="12" t="s">
        <v>255</v>
      </c>
      <c r="M97" t="s">
        <v>153</v>
      </c>
      <c r="N97" t="s">
        <v>29</v>
      </c>
      <c r="O97" t="s">
        <v>256</v>
      </c>
    </row>
    <row r="98" spans="1:16" x14ac:dyDescent="0.2">
      <c r="A98" s="1">
        <v>46051</v>
      </c>
      <c r="B98" t="s">
        <v>19</v>
      </c>
      <c r="C98" t="s">
        <v>26</v>
      </c>
      <c r="D98" t="s">
        <v>257</v>
      </c>
      <c r="F98" s="2">
        <v>84030</v>
      </c>
      <c r="G98" t="s">
        <v>40</v>
      </c>
      <c r="H98" s="17" t="s">
        <v>258</v>
      </c>
      <c r="I98">
        <v>2</v>
      </c>
      <c r="J98" s="1">
        <v>46055</v>
      </c>
      <c r="K98" s="1"/>
      <c r="L98" s="12"/>
      <c r="M98" t="s">
        <v>28</v>
      </c>
      <c r="N98" t="s">
        <v>29</v>
      </c>
      <c r="O98" t="s">
        <v>256</v>
      </c>
      <c r="P98" t="s">
        <v>259</v>
      </c>
    </row>
    <row r="99" spans="1:16" ht="17" x14ac:dyDescent="0.2">
      <c r="A99" s="1">
        <v>46051</v>
      </c>
      <c r="B99" t="s">
        <v>19</v>
      </c>
      <c r="C99" t="s">
        <v>32</v>
      </c>
      <c r="D99" t="s">
        <v>260</v>
      </c>
      <c r="F99" s="2">
        <v>80809</v>
      </c>
      <c r="G99" t="s">
        <v>48</v>
      </c>
      <c r="H99" s="18">
        <v>1794645206</v>
      </c>
      <c r="I99">
        <v>2</v>
      </c>
      <c r="J99" s="1">
        <v>46051</v>
      </c>
      <c r="K99" s="1"/>
      <c r="L99" s="12" t="s">
        <v>261</v>
      </c>
      <c r="M99" t="s">
        <v>153</v>
      </c>
      <c r="N99" t="s">
        <v>29</v>
      </c>
      <c r="O99" t="s">
        <v>41</v>
      </c>
    </row>
    <row r="100" spans="1:16" x14ac:dyDescent="0.2">
      <c r="A100" s="1">
        <v>46051</v>
      </c>
      <c r="B100" t="s">
        <v>169</v>
      </c>
      <c r="C100" t="s">
        <v>32</v>
      </c>
      <c r="D100" t="s">
        <v>262</v>
      </c>
      <c r="F100" s="2">
        <v>84034</v>
      </c>
      <c r="G100" t="s">
        <v>40</v>
      </c>
      <c r="H100" s="18">
        <v>1785410548</v>
      </c>
      <c r="I100">
        <v>1</v>
      </c>
      <c r="J100" s="1">
        <v>46066</v>
      </c>
      <c r="K100" s="1">
        <v>46067</v>
      </c>
      <c r="L100" s="12"/>
      <c r="M100" t="s">
        <v>107</v>
      </c>
    </row>
    <row r="101" spans="1:16" ht="17" x14ac:dyDescent="0.2">
      <c r="A101" s="1">
        <v>46052</v>
      </c>
      <c r="B101" t="s">
        <v>137</v>
      </c>
      <c r="C101" t="s">
        <v>26</v>
      </c>
      <c r="D101" t="s">
        <v>263</v>
      </c>
      <c r="F101" s="2">
        <v>85416</v>
      </c>
      <c r="G101" t="s">
        <v>2587</v>
      </c>
      <c r="H101" s="17" t="s">
        <v>264</v>
      </c>
      <c r="I101">
        <v>3</v>
      </c>
      <c r="J101" s="1">
        <v>46066</v>
      </c>
      <c r="K101" s="1">
        <v>46067</v>
      </c>
      <c r="L101" s="12" t="s">
        <v>265</v>
      </c>
      <c r="M101" t="s">
        <v>107</v>
      </c>
    </row>
    <row r="102" spans="1:16" x14ac:dyDescent="0.2">
      <c r="A102" s="1">
        <v>46061</v>
      </c>
      <c r="B102" t="s">
        <v>169</v>
      </c>
      <c r="C102" t="s">
        <v>26</v>
      </c>
      <c r="D102" t="s">
        <v>266</v>
      </c>
      <c r="F102" s="2">
        <v>80939</v>
      </c>
      <c r="G102" t="s">
        <v>48</v>
      </c>
      <c r="H102" s="17" t="s">
        <v>267</v>
      </c>
      <c r="I102">
        <v>2</v>
      </c>
      <c r="J102" s="1">
        <v>46066</v>
      </c>
      <c r="K102" s="1">
        <v>46067</v>
      </c>
      <c r="L102" s="12"/>
      <c r="M102" t="s">
        <v>268</v>
      </c>
    </row>
    <row r="103" spans="1:16" ht="17" x14ac:dyDescent="0.2">
      <c r="A103" s="1">
        <v>46052</v>
      </c>
      <c r="B103" t="s">
        <v>19</v>
      </c>
      <c r="C103" t="s">
        <v>32</v>
      </c>
      <c r="D103" t="s">
        <v>269</v>
      </c>
      <c r="F103" s="2">
        <v>80807</v>
      </c>
      <c r="G103" t="s">
        <v>48</v>
      </c>
      <c r="H103" s="18">
        <v>89355476</v>
      </c>
      <c r="I103">
        <v>2</v>
      </c>
      <c r="J103" s="1">
        <v>46055</v>
      </c>
      <c r="K103" s="1"/>
      <c r="L103" s="12" t="s">
        <v>270</v>
      </c>
      <c r="M103" t="s">
        <v>153</v>
      </c>
      <c r="N103" t="s">
        <v>29</v>
      </c>
      <c r="O103" t="s">
        <v>64</v>
      </c>
    </row>
    <row r="104" spans="1:16" ht="17" x14ac:dyDescent="0.2">
      <c r="A104" s="1">
        <v>46052</v>
      </c>
      <c r="B104" t="s">
        <v>19</v>
      </c>
      <c r="C104" t="s">
        <v>26</v>
      </c>
      <c r="D104" t="s">
        <v>271</v>
      </c>
      <c r="F104" s="2">
        <v>85599</v>
      </c>
      <c r="G104" t="s">
        <v>2560</v>
      </c>
      <c r="H104" s="18">
        <v>1735674804</v>
      </c>
      <c r="I104">
        <v>2</v>
      </c>
      <c r="J104" s="1">
        <v>46055</v>
      </c>
      <c r="K104" s="1"/>
      <c r="L104" s="12" t="s">
        <v>272</v>
      </c>
      <c r="M104" t="s">
        <v>28</v>
      </c>
      <c r="N104" t="s">
        <v>29</v>
      </c>
      <c r="O104" t="s">
        <v>273</v>
      </c>
    </row>
    <row r="105" spans="1:16" x14ac:dyDescent="0.2">
      <c r="A105" s="1">
        <v>46063</v>
      </c>
      <c r="B105" t="s">
        <v>169</v>
      </c>
      <c r="C105" t="s">
        <v>26</v>
      </c>
      <c r="D105" t="s">
        <v>274</v>
      </c>
      <c r="F105" s="2">
        <v>85375</v>
      </c>
      <c r="G105" t="s">
        <v>2597</v>
      </c>
      <c r="H105" s="17" t="s">
        <v>275</v>
      </c>
      <c r="I105">
        <v>1</v>
      </c>
      <c r="J105" s="1">
        <v>46066</v>
      </c>
      <c r="K105" s="1">
        <v>46067</v>
      </c>
      <c r="L105" s="12"/>
      <c r="M105" t="s">
        <v>107</v>
      </c>
    </row>
    <row r="106" spans="1:16" ht="17" x14ac:dyDescent="0.2">
      <c r="A106" s="1">
        <v>46055</v>
      </c>
      <c r="B106" t="s">
        <v>19</v>
      </c>
      <c r="C106" t="s">
        <v>26</v>
      </c>
      <c r="D106" t="s">
        <v>276</v>
      </c>
      <c r="F106" s="2">
        <v>84184</v>
      </c>
      <c r="G106" t="s">
        <v>2727</v>
      </c>
      <c r="H106" s="17" t="s">
        <v>277</v>
      </c>
      <c r="I106">
        <v>1</v>
      </c>
      <c r="J106" s="1">
        <v>46055</v>
      </c>
      <c r="K106" s="1"/>
      <c r="L106" s="12" t="s">
        <v>278</v>
      </c>
      <c r="M106" t="s">
        <v>153</v>
      </c>
      <c r="N106" t="s">
        <v>137</v>
      </c>
      <c r="O106" t="s">
        <v>279</v>
      </c>
    </row>
    <row r="107" spans="1:16" ht="17" x14ac:dyDescent="0.2">
      <c r="A107" s="1">
        <v>46055</v>
      </c>
      <c r="B107" t="s">
        <v>19</v>
      </c>
      <c r="C107" t="s">
        <v>32</v>
      </c>
      <c r="D107" t="s">
        <v>280</v>
      </c>
      <c r="F107" s="2">
        <v>84030</v>
      </c>
      <c r="G107" t="s">
        <v>40</v>
      </c>
      <c r="H107" s="18">
        <v>1624122957</v>
      </c>
      <c r="I107">
        <v>0</v>
      </c>
      <c r="J107" s="1">
        <v>46055</v>
      </c>
      <c r="K107" s="1">
        <v>46056</v>
      </c>
      <c r="L107" s="12" t="s">
        <v>270</v>
      </c>
      <c r="M107" t="s">
        <v>153</v>
      </c>
    </row>
    <row r="108" spans="1:16" ht="17" x14ac:dyDescent="0.2">
      <c r="A108" s="1">
        <v>46055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7" t="s">
        <v>282</v>
      </c>
      <c r="J108" s="1">
        <v>46055</v>
      </c>
      <c r="K108" s="1"/>
      <c r="L108" s="12" t="s">
        <v>283</v>
      </c>
      <c r="M108" t="s">
        <v>25</v>
      </c>
    </row>
    <row r="109" spans="1:16" x14ac:dyDescent="0.2">
      <c r="A109" s="1">
        <v>46056</v>
      </c>
      <c r="B109" t="s">
        <v>19</v>
      </c>
      <c r="C109" t="s">
        <v>26</v>
      </c>
      <c r="D109" t="s">
        <v>284</v>
      </c>
      <c r="F109" s="2">
        <v>84030</v>
      </c>
      <c r="G109" t="s">
        <v>40</v>
      </c>
      <c r="H109" s="18">
        <v>17643301274</v>
      </c>
      <c r="I109">
        <v>1</v>
      </c>
      <c r="J109" s="1">
        <v>46058</v>
      </c>
      <c r="K109" s="1">
        <v>46059</v>
      </c>
      <c r="L109" s="12"/>
      <c r="M109" t="s">
        <v>153</v>
      </c>
      <c r="N109" t="s">
        <v>29</v>
      </c>
      <c r="O109" t="s">
        <v>78</v>
      </c>
    </row>
    <row r="110" spans="1:16" x14ac:dyDescent="0.2">
      <c r="A110" s="1">
        <v>46057</v>
      </c>
      <c r="B110" t="s">
        <v>19</v>
      </c>
      <c r="C110" t="s">
        <v>26</v>
      </c>
      <c r="D110" t="s">
        <v>285</v>
      </c>
      <c r="F110" s="2"/>
      <c r="G110" t="s">
        <v>7201</v>
      </c>
      <c r="H110" s="17"/>
      <c r="J110" s="1"/>
      <c r="K110" s="1"/>
      <c r="L110" s="12"/>
      <c r="M110" t="s">
        <v>153</v>
      </c>
      <c r="N110" t="s">
        <v>29</v>
      </c>
      <c r="O110" t="s">
        <v>62</v>
      </c>
    </row>
    <row r="111" spans="1:16" x14ac:dyDescent="0.2">
      <c r="A111" s="1">
        <v>46058</v>
      </c>
      <c r="B111" t="s">
        <v>34</v>
      </c>
      <c r="C111" t="s">
        <v>26</v>
      </c>
      <c r="D111" t="s">
        <v>286</v>
      </c>
      <c r="F111" s="2">
        <v>85716</v>
      </c>
      <c r="G111" t="s">
        <v>2547</v>
      </c>
      <c r="H111" s="17" t="s">
        <v>287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34</v>
      </c>
      <c r="C112" t="s">
        <v>32</v>
      </c>
      <c r="D112" t="s">
        <v>288</v>
      </c>
      <c r="F112" s="2">
        <v>85617</v>
      </c>
      <c r="G112" t="s">
        <v>2567</v>
      </c>
      <c r="H112" s="18">
        <v>4915206721565</v>
      </c>
      <c r="I112">
        <v>2</v>
      </c>
      <c r="J112" s="1">
        <v>46058</v>
      </c>
      <c r="K112" s="1"/>
      <c r="L112" s="12"/>
      <c r="M112" t="s">
        <v>107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289</v>
      </c>
      <c r="F113" s="2">
        <v>84032</v>
      </c>
      <c r="G113" t="s">
        <v>2757</v>
      </c>
      <c r="H113" s="17" t="s">
        <v>290</v>
      </c>
      <c r="I113">
        <v>2</v>
      </c>
      <c r="J113" s="1">
        <v>46058</v>
      </c>
      <c r="K113" s="1"/>
      <c r="L113" s="12"/>
      <c r="M113" t="s">
        <v>153</v>
      </c>
      <c r="N113" t="s">
        <v>29</v>
      </c>
      <c r="O113" t="s">
        <v>64</v>
      </c>
    </row>
    <row r="114" spans="1:15" x14ac:dyDescent="0.2">
      <c r="A114" s="1">
        <v>46058</v>
      </c>
      <c r="B114" t="s">
        <v>19</v>
      </c>
      <c r="C114" t="s">
        <v>26</v>
      </c>
      <c r="D114" t="s">
        <v>291</v>
      </c>
      <c r="F114" s="2">
        <v>85356</v>
      </c>
      <c r="G114" t="s">
        <v>109</v>
      </c>
      <c r="H114" s="17" t="s">
        <v>292</v>
      </c>
      <c r="I114">
        <v>3</v>
      </c>
      <c r="J114" s="1">
        <v>46058</v>
      </c>
      <c r="K114" s="1"/>
      <c r="L114" s="12"/>
      <c r="M114" t="s">
        <v>25</v>
      </c>
    </row>
    <row r="115" spans="1:15" x14ac:dyDescent="0.2">
      <c r="A115" s="1">
        <v>46060</v>
      </c>
      <c r="B115" t="s">
        <v>19</v>
      </c>
      <c r="C115" t="s">
        <v>26</v>
      </c>
      <c r="D115" t="s">
        <v>224</v>
      </c>
      <c r="F115" s="2"/>
      <c r="G115" t="s">
        <v>7201</v>
      </c>
      <c r="H115" s="17"/>
      <c r="J115" s="1"/>
      <c r="K115" s="1"/>
      <c r="L115" s="12"/>
      <c r="M115" t="s">
        <v>153</v>
      </c>
      <c r="N115" t="s">
        <v>29</v>
      </c>
      <c r="O115" t="s">
        <v>171</v>
      </c>
    </row>
    <row r="116" spans="1:15" x14ac:dyDescent="0.2">
      <c r="A116" s="1">
        <v>46065</v>
      </c>
      <c r="B116" t="s">
        <v>169</v>
      </c>
      <c r="C116" t="s">
        <v>26</v>
      </c>
      <c r="D116" t="s">
        <v>293</v>
      </c>
      <c r="F116" s="2"/>
      <c r="G116" t="s">
        <v>7201</v>
      </c>
      <c r="H116" s="17" t="s">
        <v>294</v>
      </c>
      <c r="I116">
        <v>2</v>
      </c>
      <c r="J116" s="1">
        <v>46066</v>
      </c>
      <c r="K116" s="1">
        <v>46067</v>
      </c>
      <c r="L116" s="12"/>
      <c r="M116" t="s">
        <v>107</v>
      </c>
    </row>
    <row r="117" spans="1:15" x14ac:dyDescent="0.2">
      <c r="A117" s="1">
        <v>46062</v>
      </c>
      <c r="B117" t="s">
        <v>34</v>
      </c>
      <c r="C117" t="s">
        <v>32</v>
      </c>
      <c r="D117" t="s">
        <v>295</v>
      </c>
      <c r="F117" s="2">
        <v>85399</v>
      </c>
      <c r="G117" t="s">
        <v>114</v>
      </c>
      <c r="H117" s="18">
        <v>1725187026</v>
      </c>
      <c r="I117">
        <v>1</v>
      </c>
      <c r="J117" s="1">
        <v>46062</v>
      </c>
      <c r="K117" s="1"/>
      <c r="L117" s="12"/>
      <c r="M117" t="s">
        <v>107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85445</v>
      </c>
      <c r="G118" t="s">
        <v>297</v>
      </c>
      <c r="H118" s="17" t="s">
        <v>298</v>
      </c>
      <c r="I118">
        <v>2</v>
      </c>
      <c r="J118" s="1">
        <v>46062</v>
      </c>
      <c r="K118" s="1"/>
      <c r="L118" s="12"/>
      <c r="M118" t="s">
        <v>153</v>
      </c>
      <c r="N118" t="s">
        <v>29</v>
      </c>
      <c r="O118" t="s">
        <v>78</v>
      </c>
    </row>
    <row r="119" spans="1:15" x14ac:dyDescent="0.2">
      <c r="A119" s="1">
        <v>46062</v>
      </c>
      <c r="B119" t="s">
        <v>19</v>
      </c>
      <c r="C119" t="s">
        <v>26</v>
      </c>
      <c r="D119" t="s">
        <v>299</v>
      </c>
      <c r="F119" s="2">
        <v>84032</v>
      </c>
      <c r="G119" t="s">
        <v>2757</v>
      </c>
      <c r="H119" s="17" t="s">
        <v>300</v>
      </c>
      <c r="J119" s="1"/>
      <c r="K119" s="1"/>
      <c r="L119" s="12"/>
      <c r="M119" t="s">
        <v>153</v>
      </c>
      <c r="N119" t="s">
        <v>29</v>
      </c>
      <c r="O119" t="s">
        <v>171</v>
      </c>
    </row>
    <row r="120" spans="1:15" x14ac:dyDescent="0.2">
      <c r="A120" s="1">
        <v>46066</v>
      </c>
      <c r="B120" t="s">
        <v>169</v>
      </c>
      <c r="C120" t="s">
        <v>32</v>
      </c>
      <c r="D120" t="s">
        <v>301</v>
      </c>
      <c r="F120" s="2">
        <v>85368</v>
      </c>
      <c r="G120" t="s">
        <v>2598</v>
      </c>
      <c r="H120" s="17" t="s">
        <v>302</v>
      </c>
      <c r="I120">
        <v>1</v>
      </c>
      <c r="J120" s="1">
        <v>46066</v>
      </c>
      <c r="K120" s="1">
        <v>46067</v>
      </c>
      <c r="L120" s="12"/>
      <c r="M120" t="s">
        <v>107</v>
      </c>
    </row>
    <row r="121" spans="1:15" x14ac:dyDescent="0.2">
      <c r="A121" s="1">
        <v>46062</v>
      </c>
      <c r="B121" t="s">
        <v>34</v>
      </c>
      <c r="C121" t="s">
        <v>26</v>
      </c>
      <c r="D121" t="s">
        <v>303</v>
      </c>
      <c r="E121" t="s">
        <v>304</v>
      </c>
      <c r="F121" s="2">
        <v>84032</v>
      </c>
      <c r="G121" t="s">
        <v>2757</v>
      </c>
      <c r="H121" s="17" t="s">
        <v>305</v>
      </c>
      <c r="I121">
        <v>1</v>
      </c>
      <c r="J121" s="1">
        <v>46066</v>
      </c>
      <c r="K121" s="1"/>
      <c r="L121" s="12"/>
      <c r="M121" t="s">
        <v>107</v>
      </c>
    </row>
    <row r="122" spans="1:15" x14ac:dyDescent="0.2">
      <c r="A122" s="1">
        <v>46064</v>
      </c>
      <c r="B122" t="s">
        <v>34</v>
      </c>
      <c r="C122" t="s">
        <v>26</v>
      </c>
      <c r="D122" t="s">
        <v>306</v>
      </c>
      <c r="F122" s="2">
        <v>85375</v>
      </c>
      <c r="G122" t="s">
        <v>2597</v>
      </c>
      <c r="H122" s="17" t="s">
        <v>307</v>
      </c>
      <c r="I122">
        <v>1</v>
      </c>
      <c r="J122" s="1">
        <v>46064</v>
      </c>
      <c r="K122" s="1"/>
      <c r="L122" s="12"/>
      <c r="M122" t="s">
        <v>107</v>
      </c>
    </row>
    <row r="123" spans="1:15" x14ac:dyDescent="0.2">
      <c r="A123" s="1">
        <v>46063</v>
      </c>
      <c r="B123" t="s">
        <v>19</v>
      </c>
      <c r="D123" t="s">
        <v>308</v>
      </c>
      <c r="F123" s="2"/>
      <c r="G123" t="s">
        <v>7201</v>
      </c>
      <c r="H123" s="17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x14ac:dyDescent="0.2">
      <c r="A124" s="1">
        <v>46063</v>
      </c>
      <c r="B124" t="s">
        <v>19</v>
      </c>
      <c r="C124" t="s">
        <v>26</v>
      </c>
      <c r="D124" t="s">
        <v>310</v>
      </c>
      <c r="F124" s="2"/>
      <c r="G124" t="s">
        <v>7201</v>
      </c>
      <c r="H124" s="17"/>
      <c r="I124">
        <v>2</v>
      </c>
      <c r="J124" s="1">
        <v>46063</v>
      </c>
      <c r="K124" s="1"/>
      <c r="L124" s="12"/>
      <c r="M124" t="s">
        <v>28</v>
      </c>
      <c r="O124" t="s">
        <v>309</v>
      </c>
    </row>
    <row r="125" spans="1:15" ht="17" x14ac:dyDescent="0.2">
      <c r="A125" s="1">
        <v>46063</v>
      </c>
      <c r="B125" t="s">
        <v>19</v>
      </c>
      <c r="C125" t="s">
        <v>26</v>
      </c>
      <c r="D125" t="s">
        <v>311</v>
      </c>
      <c r="F125" s="2">
        <v>81925</v>
      </c>
      <c r="G125" t="s">
        <v>48</v>
      </c>
      <c r="H125" s="17" t="s">
        <v>312</v>
      </c>
      <c r="I125">
        <v>1</v>
      </c>
      <c r="J125" s="1">
        <v>46063</v>
      </c>
      <c r="K125" s="1"/>
      <c r="L125" s="12" t="s">
        <v>313</v>
      </c>
      <c r="M125" t="s">
        <v>28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314</v>
      </c>
      <c r="F126" s="2">
        <v>80939</v>
      </c>
      <c r="G126" t="s">
        <v>48</v>
      </c>
      <c r="H126" s="18">
        <v>4917624280678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32</v>
      </c>
      <c r="D127" t="s">
        <v>315</v>
      </c>
      <c r="F127" s="2">
        <v>85599</v>
      </c>
      <c r="G127" t="s">
        <v>2560</v>
      </c>
      <c r="H127" s="18">
        <v>4915222313822</v>
      </c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46064</v>
      </c>
      <c r="B128" t="s">
        <v>19</v>
      </c>
      <c r="C128" t="s">
        <v>26</v>
      </c>
      <c r="D128" t="s">
        <v>316</v>
      </c>
      <c r="F128" s="2">
        <v>85445</v>
      </c>
      <c r="G128" t="s">
        <v>297</v>
      </c>
      <c r="H128" s="17" t="s">
        <v>317</v>
      </c>
      <c r="I128">
        <v>2</v>
      </c>
      <c r="J128" s="1">
        <v>46066</v>
      </c>
      <c r="K128" s="1"/>
      <c r="L128" s="12"/>
      <c r="M128" t="s">
        <v>28</v>
      </c>
    </row>
    <row r="129" spans="1:15" x14ac:dyDescent="0.2">
      <c r="A129" s="1">
        <v>46066</v>
      </c>
      <c r="B129" t="s">
        <v>169</v>
      </c>
      <c r="C129" t="s">
        <v>26</v>
      </c>
      <c r="D129" t="s">
        <v>318</v>
      </c>
      <c r="F129" s="2">
        <v>85399</v>
      </c>
      <c r="G129" t="s">
        <v>114</v>
      </c>
      <c r="H129" s="17"/>
      <c r="I129">
        <v>2</v>
      </c>
      <c r="J129" s="1">
        <v>46066</v>
      </c>
      <c r="K129" s="1">
        <v>46067</v>
      </c>
      <c r="L129" s="12"/>
      <c r="M129" t="s">
        <v>107</v>
      </c>
    </row>
    <row r="130" spans="1:15" x14ac:dyDescent="0.2">
      <c r="A130" s="1">
        <v>46062</v>
      </c>
      <c r="B130" t="s">
        <v>169</v>
      </c>
      <c r="C130" t="s">
        <v>26</v>
      </c>
      <c r="D130" t="s">
        <v>319</v>
      </c>
      <c r="F130" s="2">
        <v>85748</v>
      </c>
      <c r="G130" t="s">
        <v>2546</v>
      </c>
      <c r="H130" s="17" t="s">
        <v>320</v>
      </c>
      <c r="I130">
        <v>2</v>
      </c>
      <c r="J130" s="1">
        <v>46066</v>
      </c>
      <c r="K130" s="1">
        <v>46069</v>
      </c>
      <c r="L130" s="12"/>
      <c r="M130" t="s">
        <v>107</v>
      </c>
    </row>
    <row r="131" spans="1:15" x14ac:dyDescent="0.2">
      <c r="A131" s="1">
        <v>46065</v>
      </c>
      <c r="B131" t="s">
        <v>19</v>
      </c>
      <c r="C131" t="s">
        <v>26</v>
      </c>
      <c r="D131" t="s">
        <v>321</v>
      </c>
      <c r="F131" s="2">
        <v>85570</v>
      </c>
      <c r="G131" t="s">
        <v>2559</v>
      </c>
      <c r="H131" s="17" t="s">
        <v>322</v>
      </c>
      <c r="I131">
        <v>1</v>
      </c>
      <c r="J131" s="1"/>
      <c r="K131" s="1"/>
      <c r="L131" s="12"/>
      <c r="M131" t="s">
        <v>153</v>
      </c>
    </row>
    <row r="132" spans="1:15" x14ac:dyDescent="0.2">
      <c r="A132" s="1">
        <v>46065</v>
      </c>
      <c r="B132" t="s">
        <v>19</v>
      </c>
      <c r="C132" t="s">
        <v>26</v>
      </c>
      <c r="D132" t="s">
        <v>323</v>
      </c>
      <c r="F132" s="2">
        <v>85591</v>
      </c>
      <c r="G132" t="s">
        <v>2560</v>
      </c>
      <c r="H132" s="17" t="s">
        <v>324</v>
      </c>
      <c r="I132">
        <v>2</v>
      </c>
      <c r="J132" s="1">
        <v>46066</v>
      </c>
      <c r="K132" s="1"/>
      <c r="L132" s="12"/>
      <c r="M132" t="s">
        <v>153</v>
      </c>
      <c r="N132" t="s">
        <v>29</v>
      </c>
      <c r="O132" t="s">
        <v>309</v>
      </c>
    </row>
    <row r="133" spans="1:15" ht="17" x14ac:dyDescent="0.2">
      <c r="A133" s="1">
        <v>46063</v>
      </c>
      <c r="B133" t="s">
        <v>137</v>
      </c>
      <c r="C133" t="s">
        <v>26</v>
      </c>
      <c r="D133" t="s">
        <v>325</v>
      </c>
      <c r="F133" s="2">
        <v>84028</v>
      </c>
      <c r="G133" t="s">
        <v>40</v>
      </c>
      <c r="H133" s="17" t="s">
        <v>326</v>
      </c>
      <c r="I133">
        <v>2</v>
      </c>
      <c r="J133" s="1">
        <v>46066</v>
      </c>
      <c r="K133" s="1">
        <v>46069</v>
      </c>
      <c r="L133" s="12" t="s">
        <v>327</v>
      </c>
      <c r="M133" t="s">
        <v>107</v>
      </c>
    </row>
    <row r="134" spans="1:15" x14ac:dyDescent="0.2">
      <c r="A134" s="1">
        <v>46065</v>
      </c>
      <c r="B134" t="s">
        <v>34</v>
      </c>
      <c r="C134" t="s">
        <v>26</v>
      </c>
      <c r="D134" t="s">
        <v>328</v>
      </c>
      <c r="F134" s="2">
        <v>85375</v>
      </c>
      <c r="G134" t="s">
        <v>2597</v>
      </c>
      <c r="H134" s="17" t="s">
        <v>329</v>
      </c>
      <c r="I134">
        <v>2</v>
      </c>
      <c r="J134" s="1">
        <v>46066</v>
      </c>
      <c r="K134" s="1"/>
      <c r="L134" s="12"/>
      <c r="M134" t="s">
        <v>107</v>
      </c>
    </row>
    <row r="135" spans="1:15" ht="17" x14ac:dyDescent="0.2">
      <c r="A135" s="1">
        <v>46065</v>
      </c>
      <c r="B135" t="s">
        <v>137</v>
      </c>
      <c r="C135" t="s">
        <v>32</v>
      </c>
      <c r="D135" t="s">
        <v>330</v>
      </c>
      <c r="F135" s="2"/>
      <c r="G135" t="s">
        <v>7201</v>
      </c>
      <c r="H135" s="17"/>
      <c r="J135" s="1">
        <v>46065</v>
      </c>
      <c r="K135" s="1">
        <v>46069</v>
      </c>
      <c r="L135" s="12" t="s">
        <v>331</v>
      </c>
      <c r="M135" t="s">
        <v>107</v>
      </c>
    </row>
    <row r="136" spans="1:15" x14ac:dyDescent="0.2">
      <c r="A136" s="1">
        <v>46065</v>
      </c>
      <c r="B136" t="s">
        <v>169</v>
      </c>
      <c r="C136" t="s">
        <v>32</v>
      </c>
      <c r="D136" t="s">
        <v>332</v>
      </c>
      <c r="F136" s="2">
        <v>84036</v>
      </c>
      <c r="G136" t="s">
        <v>40</v>
      </c>
      <c r="H136" s="17" t="s">
        <v>333</v>
      </c>
      <c r="I136">
        <v>2</v>
      </c>
      <c r="J136" s="1">
        <v>46066</v>
      </c>
      <c r="K136" s="1">
        <v>46069</v>
      </c>
      <c r="L136" s="12"/>
      <c r="M136" t="s">
        <v>107</v>
      </c>
    </row>
    <row r="137" spans="1:15" ht="17" x14ac:dyDescent="0.2">
      <c r="A137" s="1">
        <v>46066</v>
      </c>
      <c r="B137" t="s">
        <v>137</v>
      </c>
      <c r="C137" t="s">
        <v>32</v>
      </c>
      <c r="D137" t="s">
        <v>334</v>
      </c>
      <c r="F137" s="2">
        <v>80805</v>
      </c>
      <c r="G137" t="s">
        <v>48</v>
      </c>
      <c r="H137" s="17" t="s">
        <v>335</v>
      </c>
      <c r="I137">
        <v>3</v>
      </c>
      <c r="J137" s="1">
        <v>46066</v>
      </c>
      <c r="K137" s="1">
        <v>46077</v>
      </c>
      <c r="L137" s="12" t="s">
        <v>278</v>
      </c>
      <c r="M137" t="s">
        <v>107</v>
      </c>
    </row>
    <row r="138" spans="1:15" x14ac:dyDescent="0.2">
      <c r="A138" s="1">
        <v>46051</v>
      </c>
      <c r="B138" t="s">
        <v>137</v>
      </c>
      <c r="C138" t="s">
        <v>32</v>
      </c>
      <c r="D138" t="s">
        <v>336</v>
      </c>
      <c r="F138" s="2">
        <v>81373</v>
      </c>
      <c r="G138" t="s">
        <v>48</v>
      </c>
      <c r="H138" s="18">
        <v>1743838682</v>
      </c>
      <c r="I138">
        <v>0</v>
      </c>
      <c r="J138" s="1">
        <v>46066</v>
      </c>
      <c r="K138" s="1">
        <v>46081</v>
      </c>
      <c r="L138" s="12"/>
      <c r="M138" t="s">
        <v>107</v>
      </c>
    </row>
    <row r="139" spans="1:15" x14ac:dyDescent="0.2">
      <c r="A139" s="1">
        <v>46047</v>
      </c>
      <c r="B139" t="s">
        <v>337</v>
      </c>
      <c r="C139" t="s">
        <v>26</v>
      </c>
      <c r="D139" t="s">
        <v>338</v>
      </c>
      <c r="F139" s="2">
        <v>84034</v>
      </c>
      <c r="G139" t="s">
        <v>40</v>
      </c>
      <c r="H139" s="18">
        <v>15901677600</v>
      </c>
      <c r="I139">
        <v>2</v>
      </c>
      <c r="J139" s="1">
        <v>46058</v>
      </c>
      <c r="K139" s="1" t="s">
        <v>339</v>
      </c>
      <c r="L139" s="12"/>
      <c r="M139" t="s">
        <v>107</v>
      </c>
    </row>
    <row r="140" spans="1:15" ht="17" x14ac:dyDescent="0.2">
      <c r="A140" s="1">
        <v>46051</v>
      </c>
      <c r="B140" t="s">
        <v>137</v>
      </c>
      <c r="C140" t="s">
        <v>32</v>
      </c>
      <c r="D140" t="s">
        <v>340</v>
      </c>
      <c r="F140" s="2">
        <v>84144</v>
      </c>
      <c r="G140" t="s">
        <v>183</v>
      </c>
      <c r="H140" s="18">
        <v>1797102164</v>
      </c>
      <c r="I140">
        <v>1</v>
      </c>
      <c r="J140" s="1">
        <v>46064</v>
      </c>
      <c r="K140" s="1" t="s">
        <v>339</v>
      </c>
      <c r="L140" s="12" t="s">
        <v>341</v>
      </c>
      <c r="M140" t="s">
        <v>107</v>
      </c>
    </row>
  </sheetData>
  <conditionalFormatting sqref="B7:B140">
    <cfRule type="expression" dxfId="3" priority="4">
      <formula>($B7&lt;&gt;"Geschlossen")*($K7&lt;HEUTE())</formula>
    </cfRule>
    <cfRule type="expression" dxfId="2" priority="5">
      <formula>($B7&lt;&gt;"Geschlossen")*($K7=HEUTE())</formula>
    </cfRule>
    <cfRule type="expression" priority="1" stopIfTrue="1">
      <formula>$M7="Ja"</formula>
    </cfRule>
  </conditionalFormatting>
  <dataValidations count="4">
    <dataValidation type="list" allowBlank="1" showInputMessage="1" showErrorMessage="1" sqref="B7:B140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0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0" xr:uid="{A410E08D-BACF-EB46-B737-7A1702EB18B9}">
      <formula1>"Ja,Nein,Laufend"</formula1>
    </dataValidation>
    <dataValidation type="list" allowBlank="1" showInputMessage="1" showErrorMessage="1" sqref="N7:N140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140" listDataValidation="1"/>
  </ignoredErrors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S1:Z4"/>
  <sheetViews>
    <sheetView showRowColHeaders="0" zoomScale="120" zoomScaleNormal="120" workbookViewId="0">
      <selection activeCell="J20" sqref="J20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19:26" x14ac:dyDescent="0.25">
      <c r="S1" s="23"/>
      <c r="T1" s="23" t="s">
        <v>7166</v>
      </c>
      <c r="U1" s="23" t="s">
        <v>7167</v>
      </c>
      <c r="V1" s="23" t="s">
        <v>7168</v>
      </c>
      <c r="W1" s="23" t="s">
        <v>7169</v>
      </c>
      <c r="X1" s="23" t="s">
        <v>7166</v>
      </c>
      <c r="Y1" s="23" t="s">
        <v>7169</v>
      </c>
      <c r="Z1" s="23"/>
    </row>
    <row r="2" spans="19:26" x14ac:dyDescent="0.25">
      <c r="S2" s="23"/>
      <c r="T2" s="24">
        <v>46048</v>
      </c>
      <c r="U2" s="23">
        <v>99</v>
      </c>
      <c r="V2" s="23">
        <v>20</v>
      </c>
      <c r="W2" s="23">
        <v>67</v>
      </c>
      <c r="X2" s="24">
        <v>46048</v>
      </c>
      <c r="Y2" s="23">
        <v>67</v>
      </c>
      <c r="Z2" s="23"/>
    </row>
    <row r="3" spans="19:26" x14ac:dyDescent="0.25">
      <c r="S3" s="23"/>
      <c r="T3" s="24">
        <v>46079</v>
      </c>
      <c r="U3" s="23">
        <v>35</v>
      </c>
      <c r="V3" s="23">
        <v>2</v>
      </c>
      <c r="W3" s="23">
        <v>14</v>
      </c>
      <c r="X3" s="24">
        <v>46079</v>
      </c>
      <c r="Y3" s="23">
        <v>14</v>
      </c>
      <c r="Z3" s="23"/>
    </row>
    <row r="4" spans="19:26" x14ac:dyDescent="0.25">
      <c r="S4" s="23"/>
      <c r="T4" s="23"/>
      <c r="U4" s="23"/>
      <c r="V4" s="23"/>
      <c r="W4" s="23"/>
      <c r="X4" s="23"/>
      <c r="Y4" s="23"/>
      <c r="Z4" s="2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7165</v>
      </c>
    </row>
    <row r="4" spans="2:4" x14ac:dyDescent="0.2">
      <c r="B4" s="6" t="s">
        <v>7164</v>
      </c>
    </row>
    <row r="5" spans="2:4" ht="9" customHeight="1" x14ac:dyDescent="0.2">
      <c r="B5" s="10"/>
    </row>
    <row r="6" spans="2:4" x14ac:dyDescent="0.2">
      <c r="B6" s="6" t="s">
        <v>7163</v>
      </c>
      <c r="C6" s="9"/>
      <c r="D6" s="9"/>
    </row>
    <row r="7" spans="2:4" x14ac:dyDescent="0.2">
      <c r="B7" s="8" t="s">
        <v>7202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F33"/>
  <sheetViews>
    <sheetView showGridLines="0" showRowColHeaders="0" zoomScale="130" zoomScaleNormal="130" workbookViewId="0">
      <pane ySplit="1" topLeftCell="A2" activePane="bottomLeft" state="frozen"/>
      <selection pane="bottomLeft" activeCell="E14" sqref="E14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5" width="50.83203125" style="14" customWidth="1"/>
    <col min="6" max="16384" width="10.83203125" style="14"/>
  </cols>
  <sheetData>
    <row r="1" spans="1:6" x14ac:dyDescent="0.2">
      <c r="A1" s="21" t="s">
        <v>7177</v>
      </c>
      <c r="B1" s="21" t="s">
        <v>7176</v>
      </c>
      <c r="C1" s="21" t="s">
        <v>7175</v>
      </c>
      <c r="D1" s="21" t="s">
        <v>7174</v>
      </c>
      <c r="E1" s="21" t="s">
        <v>7173</v>
      </c>
      <c r="F1" s="21" t="s">
        <v>7208</v>
      </c>
    </row>
    <row r="2" spans="1:6" ht="45" x14ac:dyDescent="0.2">
      <c r="A2" s="15" t="s">
        <v>7171</v>
      </c>
      <c r="B2" s="15" t="s">
        <v>7170</v>
      </c>
      <c r="C2" s="16">
        <v>46072.767361111109</v>
      </c>
      <c r="D2" s="22" t="s">
        <v>7179</v>
      </c>
      <c r="E2" s="22" t="s">
        <v>7211</v>
      </c>
      <c r="F2" s="15" t="s">
        <v>7209</v>
      </c>
    </row>
    <row r="3" spans="1:6" ht="90" x14ac:dyDescent="0.2">
      <c r="A3" s="15" t="s">
        <v>7171</v>
      </c>
      <c r="B3" s="15" t="s">
        <v>7170</v>
      </c>
      <c r="C3" s="16">
        <v>46072.767361111109</v>
      </c>
      <c r="D3" s="22" t="s">
        <v>7203</v>
      </c>
      <c r="E3" s="22" t="s">
        <v>7212</v>
      </c>
      <c r="F3" s="15" t="s">
        <v>7210</v>
      </c>
    </row>
    <row r="4" spans="1:6" ht="90" x14ac:dyDescent="0.2">
      <c r="A4" s="15" t="s">
        <v>7171</v>
      </c>
      <c r="B4" s="15" t="s">
        <v>7170</v>
      </c>
      <c r="C4" s="16">
        <v>46072.767361111109</v>
      </c>
      <c r="D4" s="22" t="s">
        <v>7180</v>
      </c>
      <c r="E4" s="22" t="s">
        <v>7213</v>
      </c>
      <c r="F4" s="15" t="s">
        <v>7209</v>
      </c>
    </row>
    <row r="5" spans="1:6" ht="90" x14ac:dyDescent="0.2">
      <c r="A5" s="15" t="s">
        <v>7171</v>
      </c>
      <c r="B5" s="15" t="s">
        <v>7170</v>
      </c>
      <c r="C5" s="16">
        <v>46072.767361111109</v>
      </c>
      <c r="D5" s="22" t="s">
        <v>7181</v>
      </c>
      <c r="E5" s="22" t="s">
        <v>7214</v>
      </c>
      <c r="F5" s="15" t="s">
        <v>7209</v>
      </c>
    </row>
    <row r="6" spans="1:6" ht="90" x14ac:dyDescent="0.2">
      <c r="A6" s="15" t="s">
        <v>7171</v>
      </c>
      <c r="B6" s="15" t="s">
        <v>7170</v>
      </c>
      <c r="C6" s="16">
        <v>46072.767361111109</v>
      </c>
      <c r="D6" s="22" t="s">
        <v>7182</v>
      </c>
      <c r="E6" s="22" t="s">
        <v>7215</v>
      </c>
      <c r="F6" s="15" t="s">
        <v>7209</v>
      </c>
    </row>
    <row r="7" spans="1:6" ht="90" x14ac:dyDescent="0.2">
      <c r="A7" s="15" t="s">
        <v>7171</v>
      </c>
      <c r="B7" s="15" t="s">
        <v>7170</v>
      </c>
      <c r="C7" s="16">
        <v>46072.767361111109</v>
      </c>
      <c r="D7" s="22" t="s">
        <v>7183</v>
      </c>
      <c r="E7" s="22" t="s">
        <v>7216</v>
      </c>
      <c r="F7" s="15" t="s">
        <v>7209</v>
      </c>
    </row>
    <row r="8" spans="1:6" ht="90" x14ac:dyDescent="0.2">
      <c r="A8" s="15" t="s">
        <v>7171</v>
      </c>
      <c r="B8" s="15" t="s">
        <v>7170</v>
      </c>
      <c r="C8" s="16">
        <v>46072.767361111109</v>
      </c>
      <c r="D8" s="22" t="s">
        <v>7184</v>
      </c>
      <c r="E8" s="22" t="s">
        <v>7217</v>
      </c>
      <c r="F8" s="15" t="s">
        <v>7209</v>
      </c>
    </row>
    <row r="9" spans="1:6" ht="60" x14ac:dyDescent="0.2">
      <c r="A9" s="15" t="s">
        <v>7171</v>
      </c>
      <c r="B9" s="15" t="s">
        <v>7170</v>
      </c>
      <c r="C9" s="16">
        <v>46072.767361111109</v>
      </c>
      <c r="D9" s="22" t="s">
        <v>7172</v>
      </c>
      <c r="E9" s="22" t="s">
        <v>7218</v>
      </c>
      <c r="F9" s="15" t="s">
        <v>7209</v>
      </c>
    </row>
    <row r="10" spans="1:6" ht="60" x14ac:dyDescent="0.2">
      <c r="A10" s="15" t="s">
        <v>7171</v>
      </c>
      <c r="B10" s="15" t="s">
        <v>7170</v>
      </c>
      <c r="C10" s="16">
        <v>46072.767361111109</v>
      </c>
      <c r="D10" s="22" t="s">
        <v>7185</v>
      </c>
      <c r="E10" s="22" t="s">
        <v>7219</v>
      </c>
      <c r="F10" s="15" t="s">
        <v>7209</v>
      </c>
    </row>
    <row r="11" spans="1:6" ht="60" x14ac:dyDescent="0.2">
      <c r="A11" s="15" t="s">
        <v>7171</v>
      </c>
      <c r="B11" s="15" t="s">
        <v>7170</v>
      </c>
      <c r="C11" s="16">
        <v>46072.767361111109</v>
      </c>
      <c r="D11" s="22" t="s">
        <v>7186</v>
      </c>
      <c r="E11" s="22" t="s">
        <v>7220</v>
      </c>
      <c r="F11" s="15" t="s">
        <v>7209</v>
      </c>
    </row>
    <row r="12" spans="1:6" ht="60" x14ac:dyDescent="0.2">
      <c r="A12" s="15" t="s">
        <v>7171</v>
      </c>
      <c r="B12" s="15" t="s">
        <v>7170</v>
      </c>
      <c r="C12" s="16">
        <v>46072.767361111109</v>
      </c>
      <c r="D12" s="22" t="s">
        <v>7187</v>
      </c>
      <c r="E12" s="22" t="s">
        <v>7221</v>
      </c>
      <c r="F12" s="15" t="s">
        <v>7209</v>
      </c>
    </row>
    <row r="13" spans="1:6" ht="60" x14ac:dyDescent="0.2">
      <c r="A13" s="15" t="s">
        <v>7171</v>
      </c>
      <c r="B13" s="15" t="s">
        <v>7170</v>
      </c>
      <c r="C13" s="16">
        <v>46072.767361111109</v>
      </c>
      <c r="D13" s="22" t="s">
        <v>7204</v>
      </c>
      <c r="E13" s="22" t="s">
        <v>7222</v>
      </c>
      <c r="F13" s="15" t="s">
        <v>7210</v>
      </c>
    </row>
    <row r="14" spans="1:6" ht="90" x14ac:dyDescent="0.2">
      <c r="A14" s="15" t="s">
        <v>7171</v>
      </c>
      <c r="B14" s="15" t="s">
        <v>7170</v>
      </c>
      <c r="C14" s="16">
        <v>46072.767361111109</v>
      </c>
      <c r="D14" s="22" t="s">
        <v>7188</v>
      </c>
      <c r="E14" s="22" t="s">
        <v>7223</v>
      </c>
      <c r="F14" s="15" t="s">
        <v>7209</v>
      </c>
    </row>
    <row r="15" spans="1:6" ht="90" x14ac:dyDescent="0.2">
      <c r="A15" s="15" t="s">
        <v>7171</v>
      </c>
      <c r="B15" s="15" t="s">
        <v>7170</v>
      </c>
      <c r="C15" s="16">
        <v>46072.767361111109</v>
      </c>
      <c r="D15" s="22" t="s">
        <v>7205</v>
      </c>
      <c r="E15" s="22" t="s">
        <v>7224</v>
      </c>
      <c r="F15" s="15" t="s">
        <v>7210</v>
      </c>
    </row>
    <row r="16" spans="1:6" ht="90" x14ac:dyDescent="0.2">
      <c r="A16" s="15" t="s">
        <v>7171</v>
      </c>
      <c r="B16" s="15" t="s">
        <v>7170</v>
      </c>
      <c r="C16" s="16">
        <v>46072.767361111109</v>
      </c>
      <c r="D16" s="22" t="s">
        <v>7179</v>
      </c>
      <c r="E16" s="22" t="s">
        <v>7225</v>
      </c>
      <c r="F16" s="15" t="s">
        <v>7209</v>
      </c>
    </row>
    <row r="17" spans="1:6" ht="90" x14ac:dyDescent="0.2">
      <c r="A17" s="15" t="s">
        <v>7171</v>
      </c>
      <c r="B17" s="15" t="s">
        <v>7170</v>
      </c>
      <c r="C17" s="16">
        <v>46072.767361111109</v>
      </c>
      <c r="D17" s="22" t="s">
        <v>7179</v>
      </c>
      <c r="E17" s="22" t="s">
        <v>7226</v>
      </c>
      <c r="F17" s="15" t="s">
        <v>7209</v>
      </c>
    </row>
    <row r="18" spans="1:6" ht="90" x14ac:dyDescent="0.2">
      <c r="A18" s="15" t="s">
        <v>7171</v>
      </c>
      <c r="B18" s="15" t="s">
        <v>7170</v>
      </c>
      <c r="C18" s="16">
        <v>46072.767361111109</v>
      </c>
      <c r="D18" s="22" t="s">
        <v>7189</v>
      </c>
      <c r="E18" s="22" t="s">
        <v>7227</v>
      </c>
      <c r="F18" s="15" t="s">
        <v>7209</v>
      </c>
    </row>
    <row r="19" spans="1:6" ht="90" x14ac:dyDescent="0.2">
      <c r="A19" s="15" t="s">
        <v>7171</v>
      </c>
      <c r="B19" s="15" t="s">
        <v>7170</v>
      </c>
      <c r="C19" s="16">
        <v>46072.767361111109</v>
      </c>
      <c r="D19" s="22" t="s">
        <v>7190</v>
      </c>
      <c r="E19" s="22" t="s">
        <v>7228</v>
      </c>
      <c r="F19" s="15" t="s">
        <v>7209</v>
      </c>
    </row>
    <row r="20" spans="1:6" ht="90" x14ac:dyDescent="0.2">
      <c r="A20" s="15" t="s">
        <v>7171</v>
      </c>
      <c r="B20" s="15" t="s">
        <v>7170</v>
      </c>
      <c r="C20" s="16">
        <v>46072.767361111109</v>
      </c>
      <c r="D20" s="22" t="s">
        <v>7191</v>
      </c>
      <c r="E20" s="22" t="s">
        <v>7229</v>
      </c>
      <c r="F20" s="15" t="s">
        <v>7209</v>
      </c>
    </row>
    <row r="21" spans="1:6" ht="90" x14ac:dyDescent="0.2">
      <c r="A21" s="15" t="s">
        <v>7171</v>
      </c>
      <c r="B21" s="15" t="s">
        <v>7170</v>
      </c>
      <c r="C21" s="16">
        <v>46072.767361111109</v>
      </c>
      <c r="D21" s="22" t="s">
        <v>7192</v>
      </c>
      <c r="E21" s="22" t="s">
        <v>7230</v>
      </c>
      <c r="F21" s="15" t="s">
        <v>7209</v>
      </c>
    </row>
    <row r="22" spans="1:6" ht="60" x14ac:dyDescent="0.2">
      <c r="A22" s="15" t="s">
        <v>7171</v>
      </c>
      <c r="B22" s="15" t="s">
        <v>7170</v>
      </c>
      <c r="C22" s="16">
        <v>46072.767361111109</v>
      </c>
      <c r="D22" s="22" t="s">
        <v>7193</v>
      </c>
      <c r="E22" s="22" t="s">
        <v>7231</v>
      </c>
      <c r="F22" s="15" t="s">
        <v>7209</v>
      </c>
    </row>
    <row r="23" spans="1:6" ht="60" x14ac:dyDescent="0.2">
      <c r="A23" s="15" t="s">
        <v>7171</v>
      </c>
      <c r="B23" s="15" t="s">
        <v>7170</v>
      </c>
      <c r="C23" s="16">
        <v>46072.767361111109</v>
      </c>
      <c r="D23" s="22" t="s">
        <v>7206</v>
      </c>
      <c r="E23" s="22" t="s">
        <v>7232</v>
      </c>
      <c r="F23" s="15" t="s">
        <v>7209</v>
      </c>
    </row>
    <row r="24" spans="1:6" ht="60" x14ac:dyDescent="0.2">
      <c r="A24" s="15" t="s">
        <v>7171</v>
      </c>
      <c r="B24" s="15" t="s">
        <v>7170</v>
      </c>
      <c r="C24" s="16">
        <v>46072.767361111109</v>
      </c>
      <c r="D24" s="22" t="s">
        <v>7194</v>
      </c>
      <c r="E24" s="22" t="s">
        <v>7233</v>
      </c>
      <c r="F24" s="15" t="s">
        <v>7209</v>
      </c>
    </row>
    <row r="25" spans="1:6" ht="60" x14ac:dyDescent="0.2">
      <c r="A25" s="15" t="s">
        <v>7171</v>
      </c>
      <c r="B25" s="15" t="s">
        <v>7170</v>
      </c>
      <c r="C25" s="16">
        <v>46072.767361111109</v>
      </c>
      <c r="D25" s="22" t="s">
        <v>7195</v>
      </c>
      <c r="E25" s="22" t="s">
        <v>7234</v>
      </c>
      <c r="F25" s="15" t="s">
        <v>7209</v>
      </c>
    </row>
    <row r="26" spans="1:6" ht="60" x14ac:dyDescent="0.2">
      <c r="A26" s="15" t="s">
        <v>7171</v>
      </c>
      <c r="B26" s="15" t="s">
        <v>7170</v>
      </c>
      <c r="C26" s="16">
        <v>46072.767361111109</v>
      </c>
      <c r="D26" s="22" t="s">
        <v>7195</v>
      </c>
      <c r="E26" s="22" t="s">
        <v>7235</v>
      </c>
      <c r="F26" s="15" t="s">
        <v>7209</v>
      </c>
    </row>
    <row r="27" spans="1:6" ht="60" x14ac:dyDescent="0.2">
      <c r="A27" s="15" t="s">
        <v>7171</v>
      </c>
      <c r="B27" s="15" t="s">
        <v>7170</v>
      </c>
      <c r="C27" s="16">
        <v>46072.767361111109</v>
      </c>
      <c r="D27" s="22" t="s">
        <v>7196</v>
      </c>
      <c r="E27" s="22" t="s">
        <v>7236</v>
      </c>
      <c r="F27" s="15" t="s">
        <v>7209</v>
      </c>
    </row>
    <row r="28" spans="1:6" ht="60" x14ac:dyDescent="0.2">
      <c r="A28" s="15" t="s">
        <v>7171</v>
      </c>
      <c r="B28" s="15" t="s">
        <v>7170</v>
      </c>
      <c r="C28" s="16">
        <v>46072.767361111109</v>
      </c>
      <c r="D28" s="22" t="s">
        <v>7197</v>
      </c>
      <c r="E28" s="22" t="s">
        <v>7237</v>
      </c>
      <c r="F28" s="15" t="s">
        <v>7209</v>
      </c>
    </row>
    <row r="29" spans="1:6" ht="60" x14ac:dyDescent="0.2">
      <c r="A29" s="15" t="s">
        <v>7171</v>
      </c>
      <c r="B29" s="15" t="s">
        <v>7170</v>
      </c>
      <c r="C29" s="16">
        <v>46072.767361111109</v>
      </c>
      <c r="D29" s="22" t="s">
        <v>7198</v>
      </c>
      <c r="E29" s="22" t="s">
        <v>7238</v>
      </c>
      <c r="F29" s="15" t="s">
        <v>7209</v>
      </c>
    </row>
    <row r="30" spans="1:6" ht="60" x14ac:dyDescent="0.2">
      <c r="A30" s="15" t="s">
        <v>7171</v>
      </c>
      <c r="B30" s="15" t="s">
        <v>7170</v>
      </c>
      <c r="C30" s="16">
        <v>46072.767361111109</v>
      </c>
      <c r="D30" s="22" t="s">
        <v>7199</v>
      </c>
      <c r="E30" s="22" t="s">
        <v>7239</v>
      </c>
      <c r="F30" s="15" t="s">
        <v>7209</v>
      </c>
    </row>
    <row r="31" spans="1:6" ht="60" x14ac:dyDescent="0.2">
      <c r="A31" s="15" t="s">
        <v>7171</v>
      </c>
      <c r="B31" s="15" t="s">
        <v>7170</v>
      </c>
      <c r="C31" s="16">
        <v>46072.767361111109</v>
      </c>
      <c r="D31" s="22" t="s">
        <v>7199</v>
      </c>
      <c r="E31" s="22" t="s">
        <v>7240</v>
      </c>
      <c r="F31" s="15" t="s">
        <v>7209</v>
      </c>
    </row>
    <row r="32" spans="1:6" ht="60" x14ac:dyDescent="0.2">
      <c r="A32" s="15" t="s">
        <v>7171</v>
      </c>
      <c r="B32" s="15" t="s">
        <v>7170</v>
      </c>
      <c r="C32" s="16">
        <v>46072.767361111109</v>
      </c>
      <c r="D32" s="22" t="s">
        <v>7207</v>
      </c>
      <c r="E32" s="22" t="s">
        <v>7241</v>
      </c>
      <c r="F32" s="15" t="s">
        <v>7209</v>
      </c>
    </row>
    <row r="33" spans="1:6" ht="60" x14ac:dyDescent="0.2">
      <c r="A33" s="15" t="s">
        <v>7171</v>
      </c>
      <c r="B33" s="15" t="s">
        <v>7170</v>
      </c>
      <c r="C33" s="16">
        <v>46072.767361111109</v>
      </c>
      <c r="D33" s="22" t="s">
        <v>7200</v>
      </c>
      <c r="E33" s="22" t="s">
        <v>7242</v>
      </c>
      <c r="F33" s="15" t="s">
        <v>7209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2026-02-26T09:48:08Z</dcterms:modified>
</cp:coreProperties>
</file>