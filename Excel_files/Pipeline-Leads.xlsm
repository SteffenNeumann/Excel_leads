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8_{B2535A3C-1352-7E4F-A0BD-9BDA12144CCB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PLZ" sheetId="4" state="hidden" r:id="rId4"/>
    <sheet name="Stats" sheetId="2" state="hidden" r:id="rId5"/>
    <sheet name="ErrLog" sheetId="8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1" i="1" l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M14" i="2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19" authorId="0" shapeId="0" xr:uid="{0EDE4077-61C3-EC4C-9C65-2369A25A9A9C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0" authorId="0" shapeId="0" xr:uid="{4931E73B-A983-D548-947D-220A8E61959F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1" authorId="0" shapeId="0" xr:uid="{DDD0AF34-4C76-8E40-9668-4D66CCA5153C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2" authorId="0" shapeId="0" xr:uid="{B361FBBD-2998-2F4F-95B8-D7BE79727D29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3" authorId="0" shapeId="0" xr:uid="{B0C3820B-339A-7843-88A9-9FE7FE68DC43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4" authorId="0" shapeId="0" xr:uid="{D8767336-A29D-E34A-B640-E7D2069C4358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5" authorId="0" shapeId="0" xr:uid="{950DF1E7-BB90-9A49-A9A8-03241248C387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6" authorId="0" shapeId="0" xr:uid="{51A4329D-EBD0-AB41-BE97-E730D2E4B076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7" authorId="0" shapeId="0" xr:uid="{EC5A74C7-A95D-5D47-8788-DCBF61F7E416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8" authorId="0" shapeId="0" xr:uid="{37CE1546-B0A3-9840-920A-720AC21E9E53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29" authorId="0" shapeId="0" xr:uid="{6168DFDE-102F-5B4C-AA5A-6806DBAE1424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0" authorId="0" shapeId="0" xr:uid="{7D27FF4B-0AA5-2848-B1A2-AAEBE3CF133F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1" authorId="0" shapeId="0" xr:uid="{2EC55CCF-5065-6743-AA1D-1991DC6E89A4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2" authorId="0" shapeId="0" xr:uid="{1213871D-825F-394F-81BD-14E191FF4C3F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3" authorId="0" shapeId="0" xr:uid="{78D2B468-F471-0345-B7E0-B1E7DF9ADC9F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4" authorId="0" shapeId="0" xr:uid="{040B54DB-F01E-5A41-87E6-4C7522A75B93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5" authorId="0" shapeId="0" xr:uid="{A2FC4218-484B-1E4A-A62E-FEA3A5131F44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6" authorId="0" shapeId="0" xr:uid="{54F081AC-7969-6D4C-9E70-E0929C8A9AA7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7" authorId="0" shapeId="0" xr:uid="{4C06B352-7B6E-9B43-A1A6-A90770764178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8" authorId="0" shapeId="0" xr:uid="{01E51139-F1FE-DB4E-A114-96CBE0DBBBAF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39" authorId="0" shapeId="0" xr:uid="{DF5D65CE-0F87-E34C-8713-3CA6FF5743A9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0" authorId="0" shapeId="0" xr:uid="{A2B0DEE8-8EE2-AF4E-8421-235B0433AB38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1" authorId="0" shapeId="0" xr:uid="{9BEEFAC3-CA63-6845-9F32-085BE52589B6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2" authorId="0" shapeId="0" xr:uid="{B32595D1-C979-6743-875A-CF3BAFB9CF23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3" authorId="0" shapeId="0" xr:uid="{2C800FE3-D9D4-3F47-A7B3-1B45FFDC2464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4" authorId="0" shapeId="0" xr:uid="{B66204E3-34C0-5D41-9721-F49BB5B8AB9B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5" authorId="0" shapeId="0" xr:uid="{A6B15FD9-C6CC-BF46-8BDB-C032151BC450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6" authorId="0" shapeId="0" xr:uid="{EF997472-C2B7-7248-9C0B-7C9F7FDF3C16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7" authorId="0" shapeId="0" xr:uid="{7E0DB197-B2F6-FD4E-8700-DEBFE966225F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8" authorId="0" shapeId="0" xr:uid="{6DAA92AA-DD00-3349-A68F-22E319AF1573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49" authorId="0" shapeId="0" xr:uid="{0DFAFF99-82DE-334B-A9BE-5F5ADBF86A7D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50" authorId="0" shapeId="0" xr:uid="{6BE80E5E-50C6-C147-A16C-B24F2FA589E0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  <comment ref="A151" authorId="0" shapeId="0" xr:uid="{162AEB48-589D-4541-9D78-8D953C678A68}">
      <text>
        <r>
          <rPr>
            <sz val="10"/>
            <color rgb="FF000000"/>
            <rFont val="Tahoma"/>
            <family val="2"/>
          </rPr>
          <t>Automatischer Import vom: 17.02.26 11.10 | Quelle: Dateiordner: /Users/steffen/Documents/GitHub/Excel Leads/Mails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<sst xmlns="http://schemas.openxmlformats.org/spreadsheetml/2006/main" count="10932" uniqueCount="7378">
  <si>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</si>
  <si>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</si>
  <si>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</si>
  <si>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</si>
  <si>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</si>
  <si>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</si>
  <si>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</si>
  <si>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</si>
  <si>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</si>
  <si>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</si>
  <si>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</si>
  <si>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</si>
  <si>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</si>
  <si>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</si>
  <si>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</si>
  <si>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</si>
  <si>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</si>
  <si>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</si>
  <si>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</si>
  <si>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</si>
  <si>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</si>
  <si>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</si>
  <si>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</si>
  <si>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</si>
  <si>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</si>
  <si>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</si>
  <si>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</si>
  <si>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</si>
  <si>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</si>
  <si>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</si>
  <si>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</si>
  <si>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</si>
  <si>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</si>
  <si>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</si>
  <si>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</si>
  <si>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</si>
  <si>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</si>
  <si>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</si>
  <si>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</si>
  <si>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</si>
  <si>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</si>
  <si>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</si>
  <si>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</si>
  <si>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</si>
  <si>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</si>
  <si>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</si>
  <si>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</si>
  <si>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</si>
  <si>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</si>
  <si>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</si>
  <si>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</si>
  <si>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</si>
  <si>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</si>
  <si>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</si>
  <si>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</si>
  <si>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</si>
  <si>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</si>
  <si>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</si>
  <si>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</si>
  <si>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</si>
  <si>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</si>
  <si>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</si>
  <si>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</si>
  <si>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</si>
  <si>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</si>
  <si>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</si>
  <si>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</si>
  <si>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</si>
  <si>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</si>
  <si>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</si>
  <si>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</si>
  <si>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</si>
  <si>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</si>
  <si>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</si>
  <si>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</si>
  <si>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</si>
  <si>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</si>
  <si>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</si>
  <si>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</si>
  <si>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</si>
  <si>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</si>
  <si>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</si>
  <si>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</si>
  <si>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</si>
  <si>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</si>
  <si>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</si>
  <si>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</si>
  <si>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</si>
  <si>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</si>
  <si>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</si>
  <si>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</si>
  <si>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</si>
  <si>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</si>
  <si>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</si>
  <si>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</si>
  <si>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</si>
  <si>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</si>
  <si>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</si>
  <si>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</si>
  <si>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</si>
  <si>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</si>
  <si>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</si>
  <si>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</si>
  <si>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</si>
  <si>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</si>
  <si>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</si>
  <si>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</si>
  <si>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</si>
  <si>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</si>
  <si>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</si>
  <si>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</si>
  <si>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</si>
  <si>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</si>
  <si>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</si>
  <si>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</si>
  <si>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</si>
  <si>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</si>
  <si>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</si>
  <si>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</si>
  <si>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</si>
  <si>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</si>
  <si>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</si>
  <si>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</si>
  <si>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</si>
  <si>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</si>
  <si>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</si>
  <si>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</si>
  <si>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</si>
  <si>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</si>
  <si>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</si>
  <si>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</si>
  <si>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</si>
  <si>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</si>
  <si>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</si>
  <si>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</si>
  <si>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</si>
  <si>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</si>
  <si>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</si>
  <si>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</si>
  <si>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</si>
  <si>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</si>
  <si>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</si>
  <si>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</si>
  <si>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</si>
  <si>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</si>
  <si>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</si>
  <si>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</si>
  <si>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</si>
  <si>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</si>
  <si>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</si>
  <si>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</si>
  <si>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</si>
  <si>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</si>
  <si>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</si>
  <si>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</si>
  <si>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</si>
  <si>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</si>
  <si>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</si>
  <si>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</si>
  <si>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</si>
  <si>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</si>
  <si>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</si>
  <si>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</si>
  <si>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</si>
  <si>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</si>
  <si>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</si>
  <si>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</si>
  <si>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</si>
  <si>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</si>
  <si>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</si>
  <si>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</si>
  <si>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</si>
  <si>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</si>
  <si>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</si>
  <si>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</si>
  <si>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</si>
  <si>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</si>
  <si>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</si>
  <si>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</si>
  <si>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</si>
  <si>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</si>
  <si>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</si>
  <si>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</si>
  <si>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</si>
  <si>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</si>
  <si>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</si>
  <si>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</si>
  <si>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</si>
  <si>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</si>
  <si>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</si>
  <si>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</si>
  <si>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</si>
  <si>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</si>
  <si>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</si>
  <si>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</si>
  <si>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</si>
  <si>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</si>
  <si>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</si>
  <si>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</si>
  <si>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</si>
  <si>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</si>
  <si>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</si>
  <si>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</si>
  <si>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</si>
  <si>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</si>
  <si>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</si>
  <si>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</si>
  <si>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</si>
  <si>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</si>
  <si>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</si>
  <si>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</si>
  <si>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</si>
  <si>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</si>
  <si>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</si>
  <si>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</si>
  <si>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</si>
  <si>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</si>
  <si>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</si>
  <si>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</si>
  <si>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</si>
  <si>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</si>
  <si>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</si>
  <si>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</si>
  <si>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</si>
  <si>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</si>
  <si>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</si>
  <si>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</si>
  <si>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</si>
  <si>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</si>
  <si>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</si>
  <si>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</si>
  <si>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</si>
  <si>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</si>
  <si>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</si>
  <si>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</si>
  <si>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</si>
  <si>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</si>
  <si>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</si>
  <si>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</si>
  <si>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</si>
  <si>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</si>
  <si>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</si>
  <si>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</si>
  <si>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</si>
  <si>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</si>
  <si>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</si>
  <si>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</si>
  <si>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</si>
  <si>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</si>
  <si>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</si>
  <si>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</si>
  <si>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</si>
  <si>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</si>
  <si>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</si>
  <si>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</si>
  <si>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</si>
  <si>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</si>
  <si>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</si>
  <si>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</si>
  <si>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</si>
  <si>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</si>
  <si>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</si>
  <si>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</si>
  <si>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</si>
  <si>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</si>
  <si>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</si>
  <si>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</si>
  <si>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</si>
  <si>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</si>
  <si>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</si>
  <si>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</si>
  <si>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</si>
  <si>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</si>
  <si>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</si>
  <si>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</si>
  <si>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</si>
  <si>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</si>
  <si>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</si>
  <si>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</si>
  <si>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</si>
  <si>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</si>
  <si>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</si>
  <si>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</si>
  <si>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</si>
  <si>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</si>
  <si>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</si>
  <si>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</si>
  <si>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</si>
  <si>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</si>
  <si>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</si>
  <si>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</si>
  <si>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</si>
  <si>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</si>
  <si>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</si>
  <si>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</si>
  <si>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</si>
  <si>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</si>
  <si>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</si>
  <si>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</si>
  <si>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</si>
  <si>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</si>
  <si>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</si>
  <si>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</si>
  <si>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</si>
  <si>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</si>
  <si>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</si>
  <si>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</si>
  <si>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</si>
  <si>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</si>
  <si>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</si>
  <si>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</si>
  <si>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</si>
  <si>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</si>
  <si>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</si>
  <si>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</si>
  <si>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</si>
  <si>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</si>
  <si>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</si>
  <si>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</si>
  <si>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</si>
  <si>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</si>
  <si>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</si>
  <si>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</si>
  <si>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</si>
  <si>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</si>
  <si>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</si>
  <si>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</si>
  <si>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</si>
  <si>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</si>
  <si>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</si>
  <si>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</si>
  <si>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</si>
  <si>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</si>
  <si>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</si>
  <si>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</si>
  <si>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</si>
  <si>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</si>
  <si>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</si>
  <si>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</si>
  <si>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</si>
  <si>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</si>
  <si>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</si>
  <si>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</si>
  <si>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</si>
  <si>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</si>
  <si>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</si>
  <si>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</si>
  <si>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</si>
  <si>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</si>
  <si>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</si>
  <si>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</si>
  <si>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</si>
  <si>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</si>
  <si>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</si>
  <si>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</si>
  <si>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</si>
  <si>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</si>
  <si>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</si>
  <si>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</si>
  <si>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</si>
  <si>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</si>
  <si>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</si>
  <si>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</si>
  <si>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</si>
  <si>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</si>
  <si>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</si>
  <si>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</si>
  <si>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</si>
  <si>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</si>
  <si>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</si>
  <si>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</si>
  <si>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</si>
  <si>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</si>
  <si>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</si>
  <si>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</si>
  <si>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</si>
  <si>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</si>
  <si>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</si>
  <si>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</si>
  <si>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</si>
  <si>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</si>
  <si>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</si>
  <si>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</si>
  <si>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</si>
  <si>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</si>
  <si>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</si>
  <si>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</si>
  <si>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</si>
  <si>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</si>
  <si>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</si>
  <si>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</si>
  <si>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</si>
  <si>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</si>
  <si>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</si>
  <si>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</si>
  <si>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</si>
  <si>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</si>
  <si>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</si>
  <si>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</si>
  <si>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</si>
  <si>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</si>
  <si>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</si>
  <si>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</si>
  <si>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</si>
  <si>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</si>
  <si>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</si>
  <si>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</si>
  <si>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</si>
  <si>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</si>
  <si>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</si>
  <si>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</si>
  <si>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</si>
  <si>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</si>
  <si>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</si>
  <si>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</si>
  <si>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</si>
  <si>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</si>
  <si>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</si>
  <si>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</si>
  <si>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</si>
  <si>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</si>
  <si>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</si>
  <si>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</si>
  <si>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</si>
  <si>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</si>
  <si>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</si>
  <si>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</si>
  <si>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</si>
  <si>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</si>
  <si>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</si>
  <si>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</si>
  <si>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</si>
  <si>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</si>
  <si>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</si>
  <si>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</si>
  <si>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</si>
  <si>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</si>
  <si>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</si>
  <si>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</si>
  <si>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</si>
  <si>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</si>
  <si>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</si>
  <si>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</si>
  <si>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</si>
  <si>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</si>
  <si>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</si>
  <si>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</si>
  <si>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</si>
  <si>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</si>
  <si>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</si>
  <si>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</si>
  <si>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</si>
  <si>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</si>
  <si>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</si>
  <si>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</si>
  <si>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</si>
  <si>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</si>
  <si>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</si>
  <si>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</si>
  <si>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</si>
  <si>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</si>
  <si>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</si>
  <si>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</si>
  <si>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</si>
  <si>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</si>
  <si>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</si>
  <si>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</si>
  <si>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</si>
  <si>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</si>
  <si>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</si>
  <si>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</si>
  <si>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</si>
  <si>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</si>
  <si>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</si>
  <si>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</si>
  <si>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</si>
  <si>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</si>
  <si>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</si>
  <si>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</si>
  <si>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</si>
  <si>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</si>
  <si>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</si>
  <si>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</si>
  <si>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</si>
  <si>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</si>
  <si>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</si>
  <si>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</si>
  <si>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</si>
  <si>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</si>
  <si>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</si>
  <si>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</si>
  <si>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</si>
  <si>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</si>
  <si>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</si>
  <si>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</si>
  <si>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</si>
  <si>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</si>
  <si>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</si>
  <si>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</si>
  <si>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</si>
  <si>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</si>
  <si>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</si>
  <si>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</si>
  <si>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</si>
  <si>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</si>
  <si>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</si>
  <si>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</si>
  <si>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</si>
  <si>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</si>
  <si>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</si>
  <si>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</si>
  <si>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</si>
  <si>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</si>
  <si>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</si>
  <si>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</si>
  <si>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</si>
  <si>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</si>
  <si>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</si>
  <si>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</si>
  <si>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</si>
  <si>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</si>
  <si>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</si>
  <si>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</si>
  <si>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</si>
  <si>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</si>
  <si>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</si>
  <si>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</si>
  <si>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</si>
  <si>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</si>
  <si>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</si>
  <si>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</si>
  <si>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</si>
  <si>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</si>
  <si>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</si>
  <si>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</si>
  <si>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</si>
  <si>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</si>
  <si>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</si>
  <si>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</si>
  <si>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</si>
  <si>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</si>
  <si>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</si>
  <si>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</si>
  <si>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</si>
  <si>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</si>
  <si>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</si>
  <si>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</si>
  <si>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</si>
  <si>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</si>
  <si>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</si>
  <si>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</si>
  <si>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</si>
  <si>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</si>
  <si>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</si>
  <si>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</si>
  <si>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</si>
  <si>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</si>
  <si>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</si>
  <si>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</si>
  <si>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</si>
  <si>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</si>
  <si>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</si>
  <si>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</si>
  <si>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</si>
  <si>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</si>
  <si>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</si>
  <si>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</si>
  <si>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</si>
  <si>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</si>
  <si>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</si>
  <si>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</si>
  <si>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</si>
  <si>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</si>
  <si>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</si>
  <si>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</si>
  <si>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</si>
  <si>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</si>
  <si>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</si>
  <si>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</si>
  <si>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</si>
  <si>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</si>
  <si>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</si>
  <si>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</si>
  <si>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</si>
  <si>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</si>
  <si>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</si>
  <si>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</si>
  <si>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</si>
  <si>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</si>
  <si>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</si>
  <si>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</si>
  <si>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</si>
  <si>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</si>
  <si>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</si>
  <si>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</si>
  <si>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</si>
  <si>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</si>
  <si>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</si>
  <si>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</si>
  <si>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</si>
  <si>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</si>
  <si>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</si>
  <si>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</si>
  <si>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</si>
  <si>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</si>
  <si>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</si>
  <si>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</si>
  <si>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</si>
  <si>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</si>
  <si>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</si>
  <si>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</si>
  <si>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</si>
  <si>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</si>
  <si>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</si>
  <si>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</si>
  <si>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</si>
  <si>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</si>
  <si>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</si>
  <si>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</si>
  <si>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</si>
  <si>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</si>
  <si>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</si>
  <si>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</si>
  <si>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</si>
  <si>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</si>
  <si>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</si>
  <si>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</si>
  <si>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</si>
  <si>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</si>
  <si>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</si>
  <si>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</si>
  <si>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</si>
  <si>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</si>
  <si>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</si>
  <si>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</si>
  <si>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</si>
  <si>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</si>
  <si>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</si>
  <si>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</si>
  <si>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</si>
  <si>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</si>
  <si>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</si>
  <si>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</si>
  <si>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</si>
  <si>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</si>
  <si>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</si>
  <si>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</si>
  <si>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</si>
  <si>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</si>
  <si>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</si>
  <si>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</si>
  <si>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</si>
  <si>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</si>
  <si>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</si>
  <si>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</si>
  <si>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</si>
  <si>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</si>
  <si>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</si>
  <si>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</si>
  <si>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</si>
  <si>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</si>
  <si>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</si>
  <si>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</si>
  <si>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</si>
  <si>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</si>
  <si>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</si>
  <si>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</si>
  <si>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</si>
  <si>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</si>
  <si>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</si>
  <si>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</si>
  <si>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</si>
  <si>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</si>
  <si>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</si>
  <si>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</si>
  <si>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</si>
  <si>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</si>
  <si>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</si>
  <si>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</si>
  <si>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</si>
  <si>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</si>
  <si>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</si>
  <si>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</si>
  <si>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</si>
  <si>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</si>
  <si>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</si>
  <si>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</si>
  <si>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</si>
  <si>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</si>
  <si>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</si>
  <si>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</si>
  <si>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</si>
  <si>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</si>
  <si>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</si>
  <si>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</si>
  <si>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</si>
  <si>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</si>
  <si>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</si>
  <si>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</si>
  <si>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</si>
  <si>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</si>
  <si>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</si>
  <si>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</si>
  <si>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</si>
  <si>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</si>
  <si>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</si>
  <si>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</si>
  <si>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</si>
  <si>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</si>
  <si>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</si>
  <si>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</si>
  <si>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</si>
  <si>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</si>
  <si>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</si>
  <si>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</si>
  <si>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</si>
  <si>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</si>
  <si>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</si>
  <si>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</si>
  <si>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</si>
  <si>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</si>
  <si>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</si>
  <si>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</si>
  <si>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</si>
  <si>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</si>
  <si>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</si>
  <si>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</si>
  <si>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</si>
  <si>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</si>
  <si>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</si>
  <si>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</si>
  <si>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</si>
  <si>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</si>
  <si>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</si>
  <si>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</si>
  <si>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</si>
  <si>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</si>
  <si>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</si>
  <si>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</si>
  <si>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</si>
  <si>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</si>
  <si>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</si>
  <si>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</si>
  <si>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</si>
  <si>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</si>
  <si>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</si>
  <si>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</si>
  <si>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</si>
  <si>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</si>
  <si>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</si>
  <si>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</si>
  <si>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</si>
  <si>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</si>
  <si>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</si>
  <si>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</si>
  <si>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</si>
  <si>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</si>
  <si>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</si>
  <si>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</si>
  <si>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</si>
  <si>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</si>
  <si>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</si>
  <si>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</si>
  <si>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</si>
  <si>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</si>
  <si>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</si>
  <si>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</si>
  <si>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</si>
  <si>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</si>
  <si>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</si>
  <si>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</si>
  <si>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</si>
  <si>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</si>
  <si>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</si>
  <si>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</si>
  <si>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</si>
  <si>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</si>
  <si>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</si>
  <si>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</si>
  <si>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</si>
  <si>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</si>
  <si>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</si>
  <si>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</si>
  <si>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</si>
  <si>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</si>
  <si>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</si>
  <si>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</si>
  <si>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</si>
  <si>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</si>
  <si>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</si>
  <si>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</si>
  <si>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</si>
  <si>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</si>
  <si>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</si>
  <si>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</si>
  <si>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</si>
  <si>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</si>
  <si>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</si>
  <si>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</si>
  <si>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</si>
  <si>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</si>
  <si>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</si>
  <si>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</si>
  <si>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</si>
  <si>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</si>
  <si>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</si>
  <si>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</si>
  <si>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</si>
  <si>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</si>
  <si>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</si>
  <si>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</si>
  <si>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</si>
  <si>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</si>
  <si>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</si>
  <si>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</si>
  <si>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</si>
  <si>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</si>
  <si>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</si>
  <si>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</si>
  <si>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</si>
  <si>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</si>
  <si>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</si>
  <si>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</si>
  <si>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</si>
  <si>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</si>
  <si>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</si>
  <si>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</si>
  <si>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</si>
  <si>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</si>
  <si>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</si>
  <si>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</si>
  <si>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</si>
  <si>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</si>
  <si>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</si>
  <si>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</si>
  <si>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</si>
  <si>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</si>
  <si>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</si>
  <si>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</si>
  <si>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</si>
  <si>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</si>
  <si>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</si>
  <si>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</si>
  <si>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</si>
  <si>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</si>
  <si>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</si>
  <si>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</si>
  <si>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</si>
  <si>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</si>
  <si>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</si>
  <si>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</si>
  <si>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</si>
  <si>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</si>
  <si>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</si>
  <si>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</si>
  <si>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</si>
  <si>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</si>
  <si>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</si>
  <si>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</si>
  <si>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</si>
  <si>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</si>
  <si>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</si>
  <si>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</si>
  <si>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</si>
  <si>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</si>
  <si>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</si>
  <si>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</si>
  <si>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</si>
  <si>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</si>
  <si>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</si>
  <si>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</si>
  <si>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</si>
  <si>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</si>
  <si>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</si>
  <si>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</si>
  <si>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</si>
  <si>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</si>
  <si>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</si>
  <si>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</si>
  <si>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</si>
  <si>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</si>
  <si>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</si>
  <si>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</si>
  <si>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</si>
  <si>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</si>
  <si>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</si>
  <si>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</si>
  <si>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</si>
  <si>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</si>
  <si>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</si>
  <si>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</si>
  <si>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</si>
  <si>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</si>
  <si>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</si>
  <si>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</si>
  <si>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</si>
  <si>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</si>
  <si>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</si>
  <si>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</si>
  <si>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</si>
  <si>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</si>
  <si>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</si>
  <si>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</si>
  <si>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</si>
  <si>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</si>
  <si>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</si>
  <si>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</si>
  <si>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</si>
  <si>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</si>
  <si>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</si>
  <si>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</si>
  <si>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</si>
  <si>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</si>
  <si>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</si>
  <si>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</si>
  <si>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</si>
  <si>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</si>
  <si>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</si>
  <si>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</si>
  <si>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</si>
  <si>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</si>
  <si>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</si>
  <si>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</si>
  <si>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</si>
  <si>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</si>
  <si>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</si>
  <si>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</si>
  <si>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</si>
  <si>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</si>
  <si>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</si>
  <si>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</si>
  <si>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</si>
  <si>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</si>
  <si>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</si>
  <si>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</si>
  <si>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</si>
  <si>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</si>
  <si>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</si>
  <si>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</si>
  <si>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</si>
  <si>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</si>
  <si>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</si>
  <si>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</si>
  <si>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</si>
  <si>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</si>
  <si>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</si>
  <si>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</si>
  <si>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</si>
  <si>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</si>
  <si>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</si>
  <si>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</si>
  <si>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</si>
  <si>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</si>
  <si>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</si>
  <si>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</si>
  <si>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</si>
  <si>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</si>
  <si>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</si>
  <si>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</si>
  <si>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</si>
  <si>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</si>
  <si>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</si>
  <si>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</si>
  <si>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</si>
  <si>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</si>
  <si>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</si>
  <si>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</si>
  <si>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</si>
  <si>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</si>
  <si>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</si>
  <si>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</si>
  <si>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</si>
  <si>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</si>
  <si>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</si>
  <si>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</si>
  <si>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</si>
  <si>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</si>
  <si>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</si>
  <si>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</si>
  <si>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</si>
  <si>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</si>
  <si>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</si>
  <si>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</si>
  <si>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</si>
  <si>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</si>
  <si>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</si>
  <si>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</si>
  <si>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</si>
  <si>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</si>
  <si>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</si>
  <si>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</si>
  <si>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</si>
  <si>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</si>
  <si>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</si>
  <si>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</si>
  <si>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</si>
  <si>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</si>
  <si>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</si>
  <si>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</si>
  <si>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</si>
  <si>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</si>
  <si>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</si>
  <si>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</si>
  <si>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</si>
  <si>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</si>
  <si>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</si>
  <si>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</si>
  <si>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</si>
  <si>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</si>
  <si>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</si>
  <si>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</si>
  <si>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</si>
  <si>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</si>
  <si>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</si>
  <si>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</si>
  <si>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</si>
  <si>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</si>
  <si>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</si>
  <si>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</si>
  <si>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</si>
  <si>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</si>
  <si>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</si>
  <si>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</si>
  <si>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</si>
  <si>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</si>
  <si>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</si>
  <si>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</si>
  <si>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</si>
  <si>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</si>
  <si>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</si>
  <si>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</si>
  <si>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</si>
  <si>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</si>
  <si>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</si>
  <si>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</si>
  <si>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</si>
  <si>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</si>
  <si>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</si>
  <si>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</si>
  <si>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</si>
  <si>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</si>
  <si>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</si>
  <si>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</si>
  <si>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</si>
  <si>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</si>
  <si>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</si>
  <si>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</si>
  <si>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</si>
  <si>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</si>
  <si>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</si>
  <si>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</si>
  <si>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</si>
  <si>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</si>
  <si>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</si>
  <si>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</si>
  <si>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</si>
  <si>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</si>
  <si>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</si>
  <si>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</si>
  <si>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</si>
  <si>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</si>
  <si>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</si>
  <si>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</si>
  <si>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</si>
  <si>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</si>
  <si>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</si>
  <si>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</si>
  <si>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</si>
  <si>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</si>
  <si>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</si>
  <si>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</si>
  <si>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</si>
  <si>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</si>
  <si>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</si>
  <si>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</si>
  <si>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</si>
  <si>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</si>
  <si>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</si>
  <si>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</si>
  <si>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</si>
  <si>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</si>
  <si>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</si>
  <si>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</si>
  <si>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</si>
  <si>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</si>
  <si>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</si>
  <si>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</si>
  <si>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</si>
  <si>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</si>
  <si>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</si>
  <si>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</si>
  <si>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</si>
  <si>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</si>
  <si>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</si>
  <si>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</si>
  <si>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</si>
  <si>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</si>
  <si>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</si>
  <si>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</si>
  <si>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</si>
  <si>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</si>
  <si>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</si>
  <si>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</si>
  <si>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</si>
  <si>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</si>
  <si>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</si>
  <si>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</si>
  <si>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</si>
  <si>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</si>
  <si>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</si>
  <si>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</si>
  <si>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</si>
  <si>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</si>
  <si>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</si>
  <si>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</si>
  <si>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</si>
  <si>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</si>
  <si>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</si>
  <si>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</si>
  <si>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</si>
  <si>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</si>
  <si>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</si>
  <si>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</si>
  <si>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</si>
  <si>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</si>
  <si>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</si>
  <si>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</si>
  <si>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</si>
  <si>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</si>
  <si>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</si>
  <si>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</si>
  <si>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</si>
  <si>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</si>
  <si>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</si>
  <si>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</si>
  <si>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</si>
  <si>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</si>
  <si>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</si>
  <si>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</si>
  <si>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</si>
  <si>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</si>
  <si>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</si>
  <si>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</si>
  <si>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</si>
  <si>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</si>
  <si>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</si>
  <si>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</si>
  <si>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</si>
  <si>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</si>
  <si>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</si>
  <si>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</si>
  <si>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</si>
  <si>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</si>
  <si>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</si>
  <si>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</si>
  <si>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</si>
  <si>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</si>
  <si>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</si>
  <si>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</si>
  <si>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</si>
  <si>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</si>
  <si>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</si>
  <si>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</si>
  <si>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</si>
  <si>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</si>
  <si>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</si>
  <si>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</si>
  <si>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</si>
  <si>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</si>
  <si>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</si>
  <si>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</si>
  <si>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</si>
  <si>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</si>
  <si>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</si>
  <si>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</si>
  <si>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</si>
  <si>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</si>
  <si>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</si>
  <si>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</si>
  <si>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</si>
  <si>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</si>
  <si>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</si>
  <si>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</si>
  <si>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</si>
  <si>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</si>
  <si>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</si>
  <si>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</si>
  <si>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</si>
  <si>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</si>
  <si>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</si>
  <si>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</si>
  <si>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</si>
  <si>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</si>
  <si>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</si>
  <si>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</si>
  <si>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</si>
  <si>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</si>
  <si>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</si>
  <si>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</si>
  <si>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</si>
  <si>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</si>
  <si>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</si>
  <si>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</si>
  <si>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</si>
  <si>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</si>
  <si>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</si>
  <si>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</si>
  <si>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</si>
  <si>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</si>
  <si>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</si>
  <si>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</si>
  <si>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</si>
  <si>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</si>
  <si>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</si>
  <si>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</si>
  <si>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</si>
  <si>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</si>
  <si>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</si>
  <si>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</si>
  <si>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</si>
  <si>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</si>
  <si>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</si>
  <si>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</si>
  <si>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</si>
  <si>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</si>
  <si>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</si>
  <si>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</si>
  <si>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</si>
  <si>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</si>
  <si>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</si>
  <si>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</si>
  <si>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</si>
  <si>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</si>
  <si>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</si>
  <si>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</si>
  <si>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</si>
  <si>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</si>
  <si>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</si>
  <si>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</si>
  <si>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</si>
  <si>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</si>
  <si>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</si>
  <si>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</si>
  <si>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</si>
  <si>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</si>
  <si>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</si>
  <si>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</si>
  <si>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</si>
  <si>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</si>
  <si>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</si>
  <si>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</si>
  <si>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</si>
  <si>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</si>
  <si>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</si>
  <si>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</si>
  <si>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</si>
  <si>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</si>
  <si>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</si>
  <si>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</si>
  <si>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</si>
  <si>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</si>
  <si>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</si>
  <si>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</si>
  <si>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</si>
  <si>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</si>
  <si>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</si>
  <si>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</si>
  <si>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</si>
  <si>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</si>
  <si>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</si>
  <si>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</si>
  <si>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</si>
  <si>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</si>
  <si>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</si>
  <si>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</si>
  <si>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</si>
  <si>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</si>
  <si>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</si>
  <si>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</si>
  <si>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</si>
  <si>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</si>
  <si>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</si>
  <si>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</si>
  <si>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</si>
  <si>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</si>
  <si>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</si>
  <si>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</si>
  <si>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</si>
  <si>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</si>
  <si>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</si>
  <si>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</si>
  <si>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</si>
  <si>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</si>
  <si>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</si>
  <si>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</si>
  <si>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</si>
  <si>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</si>
  <si>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</si>
  <si>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</si>
  <si>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</si>
  <si>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</si>
  <si>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</si>
  <si>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</si>
  <si>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</si>
  <si>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</si>
  <si>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</si>
  <si>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</si>
  <si>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</si>
  <si>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</si>
  <si>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</si>
  <si>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</si>
  <si>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</si>
  <si>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</si>
  <si>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</si>
  <si>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</si>
  <si>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</si>
  <si>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</si>
  <si>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</si>
  <si>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</si>
  <si>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</si>
  <si>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</si>
  <si>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</si>
  <si>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</si>
  <si>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</si>
  <si>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</si>
  <si>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</si>
  <si>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</si>
  <si>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</si>
  <si>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</si>
  <si>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</si>
  <si>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</si>
  <si>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</si>
  <si>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</si>
  <si>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</si>
  <si>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</si>
  <si>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</si>
  <si>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</si>
  <si>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</si>
  <si>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</si>
  <si>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</si>
  <si>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</si>
  <si>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</si>
  <si>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</si>
  <si>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</si>
  <si>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</si>
  <si>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</si>
  <si>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</si>
  <si>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</si>
  <si>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</si>
  <si>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</si>
  <si>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</si>
  <si>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</si>
  <si>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</si>
  <si>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</si>
  <si>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</si>
  <si>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</si>
  <si>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</si>
  <si>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</si>
  <si>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</si>
  <si>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</si>
  <si>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</si>
  <si>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</si>
  <si>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</si>
  <si>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</si>
  <si>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</si>
  <si>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</si>
  <si>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</si>
  <si>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</si>
  <si>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</si>
  <si>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</si>
  <si>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</si>
  <si>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</si>
  <si>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</si>
  <si>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</si>
  <si>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</si>
  <si>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</si>
  <si>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</si>
  <si>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</si>
  <si>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</si>
  <si>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</si>
  <si>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</si>
  <si>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</si>
  <si>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</si>
  <si>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</si>
  <si>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</si>
  <si>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</si>
  <si>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</si>
  <si>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</si>
  <si>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</si>
  <si>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</si>
  <si>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</si>
  <si>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</si>
  <si>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</si>
  <si>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</si>
  <si>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</si>
  <si>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</si>
  <si>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</si>
  <si>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</si>
  <si>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</si>
  <si>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</si>
  <si>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</si>
  <si>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</si>
  <si>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</si>
  <si>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</si>
  <si>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</si>
  <si>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</si>
  <si>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</si>
  <si>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</si>
  <si>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</si>
  <si>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</si>
  <si>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</si>
  <si>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</si>
  <si>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</si>
  <si>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</si>
  <si>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</si>
  <si>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</si>
  <si>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</si>
  <si>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</si>
  <si>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</si>
  <si>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</si>
  <si>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</si>
  <si>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</si>
  <si>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</si>
  <si>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</si>
  <si>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</si>
  <si>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</si>
  <si>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</si>
  <si>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</si>
  <si>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</si>
  <si>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</si>
  <si>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</si>
  <si>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</si>
  <si>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</si>
  <si>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</si>
  <si>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</si>
  <si>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</si>
  <si>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</si>
  <si>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</si>
  <si>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</si>
  <si>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</si>
  <si>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</si>
  <si>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</si>
  <si>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</si>
  <si>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</si>
  <si>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</si>
  <si>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</si>
  <si>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</si>
  <si>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</si>
  <si>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</si>
  <si>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</si>
  <si>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</si>
  <si>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</si>
  <si>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</si>
  <si>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</si>
  <si>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</si>
  <si>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</si>
  <si>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</si>
  <si>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</si>
  <si>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</si>
  <si>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</si>
  <si>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</si>
  <si>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</si>
  <si>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</si>
  <si>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</si>
  <si>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</si>
  <si>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</si>
  <si>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</si>
  <si>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</si>
  <si>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</si>
  <si>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</si>
  <si>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</si>
  <si>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</si>
  <si>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</si>
  <si>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</si>
  <si>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</si>
  <si>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</si>
  <si>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</si>
  <si>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</si>
  <si>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</si>
  <si>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</si>
  <si>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</si>
  <si>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</si>
  <si>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</si>
  <si>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</si>
  <si>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</si>
  <si>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</si>
  <si>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</si>
  <si>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</si>
  <si>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</si>
  <si>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</si>
  <si>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</si>
  <si>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</si>
  <si>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</si>
  <si>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</si>
  <si>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</si>
  <si>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</si>
  <si>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</si>
  <si>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</si>
  <si>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</si>
  <si>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</si>
  <si>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</si>
  <si>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</si>
  <si>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</si>
  <si>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</si>
  <si>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</si>
  <si>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</si>
  <si>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</si>
  <si>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</si>
  <si>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</si>
  <si>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</si>
  <si>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</si>
  <si>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</si>
  <si>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</si>
  <si>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</si>
  <si>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</si>
  <si>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</si>
  <si>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</si>
  <si>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</si>
  <si>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</si>
  <si>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</si>
  <si>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</si>
  <si>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</si>
  <si>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</si>
  <si>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</si>
  <si>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</si>
  <si>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</si>
  <si>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</si>
  <si>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</si>
  <si>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</si>
  <si>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</si>
  <si>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</si>
  <si>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</si>
  <si>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</si>
  <si>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</si>
  <si>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</si>
  <si>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</si>
  <si>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</si>
  <si>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</si>
  <si>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</si>
  <si>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</si>
  <si>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</si>
  <si>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</si>
  <si>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</si>
  <si>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</si>
  <si>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</si>
  <si>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</si>
  <si>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</si>
  <si>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</si>
  <si>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</si>
  <si>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</si>
  <si>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</si>
  <si>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</si>
  <si>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</si>
  <si>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</si>
  <si>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</si>
  <si>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</si>
  <si>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</si>
  <si>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</si>
  <si>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</si>
  <si>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</si>
  <si>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</si>
  <si>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</si>
  <si>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</si>
  <si>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</si>
  <si>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</si>
  <si>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</si>
  <si>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</si>
  <si>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</si>
  <si>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</si>
  <si>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</si>
  <si>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</si>
  <si>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</si>
  <si>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</si>
  <si>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</si>
  <si>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</si>
  <si>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</si>
  <si>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</si>
  <si>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</si>
  <si>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</si>
  <si>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</si>
  <si>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</si>
  <si>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</si>
  <si>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</si>
  <si>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</si>
  <si>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</si>
  <si>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</si>
  <si>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</si>
  <si>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</si>
  <si>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</si>
  <si>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</si>
  <si>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</si>
  <si>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</si>
  <si>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</si>
  <si>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</si>
  <si>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</si>
  <si>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</si>
  <si>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</si>
  <si>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</si>
  <si>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</si>
  <si>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</si>
  <si>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</si>
  <si>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</si>
  <si>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</si>
  <si>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</si>
  <si>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</si>
  <si>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</si>
  <si>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</si>
  <si>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</si>
  <si>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</si>
  <si>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</si>
  <si>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</si>
  <si>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</si>
  <si>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</si>
  <si>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</si>
  <si>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</si>
  <si>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</si>
  <si>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</si>
  <si>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</si>
  <si>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</si>
  <si>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</si>
  <si>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</si>
  <si>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</si>
  <si>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</si>
  <si>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</si>
  <si>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</si>
  <si>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</si>
  <si>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</si>
  <si>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</si>
  <si>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</si>
  <si>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</si>
  <si>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</si>
  <si>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</si>
  <si>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</si>
  <si>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</si>
  <si>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</si>
  <si>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</si>
  <si>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</si>
  <si>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</si>
  <si>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</si>
  <si>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</si>
  <si>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</si>
  <si>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</si>
  <si>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</si>
  <si>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</si>
  <si>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</si>
  <si>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</si>
  <si>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</si>
  <si>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</si>
  <si>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</si>
  <si>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</si>
  <si>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</si>
  <si>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</si>
  <si>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</si>
  <si>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</si>
  <si>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</si>
  <si>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</si>
  <si>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</si>
  <si>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</si>
  <si>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</si>
  <si>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</si>
  <si>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</si>
  <si>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</si>
  <si>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</si>
  <si>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</si>
  <si>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</si>
  <si>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</si>
  <si>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</si>
  <si>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</si>
  <si>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</si>
  <si>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</si>
  <si>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</si>
  <si>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</si>
  <si>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</si>
  <si>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</si>
  <si>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</si>
  <si>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</si>
  <si>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</si>
  <si>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</si>
  <si>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</si>
  <si>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</si>
  <si>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</si>
  <si>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</si>
  <si>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</si>
  <si>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</si>
  <si>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</si>
  <si>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</si>
  <si>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</si>
  <si>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</si>
  <si>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</si>
  <si>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</si>
  <si>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</si>
  <si>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</si>
  <si>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</si>
  <si>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</si>
  <si>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</si>
  <si>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</si>
  <si>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</si>
  <si>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</si>
  <si>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</si>
  <si>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</si>
  <si>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</si>
  <si>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</si>
  <si>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</si>
  <si>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</si>
  <si>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</si>
  <si>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</si>
  <si>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</si>
  <si>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</si>
  <si>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</si>
  <si>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</si>
  <si>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</si>
  <si>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</si>
  <si>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</si>
  <si>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</si>
  <si>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</si>
  <si>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</si>
  <si>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</si>
  <si>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</si>
  <si>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</si>
  <si>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</si>
  <si>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</si>
  <si>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</si>
  <si>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</si>
  <si>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</si>
  <si>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</si>
  <si>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</si>
  <si>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</si>
  <si>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</si>
  <si>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</si>
  <si>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</si>
  <si>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</si>
  <si>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</si>
  <si>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</si>
  <si>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</si>
  <si>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</si>
  <si>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</si>
  <si>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</si>
  <si>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</si>
  <si>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</si>
  <si>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</si>
  <si>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</si>
  <si>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</si>
  <si>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</si>
  <si>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</si>
  <si>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</si>
  <si>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</si>
  <si>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</si>
  <si>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</si>
  <si>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</si>
  <si>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</si>
  <si>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</si>
  <si>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</si>
  <si>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</si>
  <si>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</si>
  <si>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</si>
  <si>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</si>
  <si>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</si>
  <si>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</si>
  <si>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</si>
  <si>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</si>
  <si>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</si>
  <si>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</si>
  <si>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</si>
  <si>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</si>
  <si>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</si>
  <si>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</si>
  <si>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</si>
  <si>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</si>
  <si>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</si>
  <si>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</si>
  <si>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</si>
  <si>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</si>
  <si>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</si>
  <si>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</si>
  <si>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</si>
  <si>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</si>
  <si>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</si>
  <si>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</si>
  <si>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</si>
  <si>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</si>
  <si>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</si>
  <si>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</si>
  <si>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</si>
  <si>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</si>
  <si>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</si>
  <si>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</si>
  <si>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</si>
  <si>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</si>
  <si>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</si>
  <si>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</si>
  <si>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</si>
  <si>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</si>
  <si>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</si>
  <si>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</si>
  <si>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</si>
  <si>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</si>
  <si>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</si>
  <si>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</si>
  <si>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</si>
  <si>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</si>
  <si>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</si>
  <si>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</si>
  <si>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</si>
  <si>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</si>
  <si>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</si>
  <si>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</si>
  <si>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</si>
  <si>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</si>
  <si>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</si>
  <si>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</si>
  <si>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</si>
  <si>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</si>
  <si>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</si>
  <si>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</si>
  <si>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</si>
  <si>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</si>
  <si>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</si>
  <si>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</si>
  <si>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</si>
  <si>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</si>
  <si>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</si>
  <si>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</si>
  <si>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</si>
  <si>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</si>
  <si>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</si>
  <si>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</si>
  <si>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</si>
  <si>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</si>
  <si>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</si>
  <si>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</si>
  <si>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</si>
  <si>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</si>
  <si>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</si>
  <si>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</si>
  <si>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</si>
  <si>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</si>
  <si>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</si>
  <si>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</si>
  <si>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</si>
  <si>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</si>
  <si>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</si>
  <si>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</si>
  <si>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</si>
  <si>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</si>
  <si>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</si>
  <si>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</si>
  <si>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</si>
  <si>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</si>
  <si>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</si>
  <si>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</si>
  <si>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</si>
  <si>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</si>
  <si>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</si>
  <si>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</si>
  <si>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</si>
  <si>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</si>
  <si>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</si>
  <si>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</si>
  <si>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</si>
  <si>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</si>
  <si>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</si>
  <si>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</si>
  <si>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</si>
  <si>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</si>
  <si>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</si>
  <si>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</si>
  <si>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</si>
  <si>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</si>
  <si>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</si>
  <si>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</si>
  <si>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</si>
  <si>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</si>
  <si>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</si>
  <si>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</si>
  <si>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</si>
  <si>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</si>
  <si>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</si>
  <si>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</si>
  <si>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</si>
  <si>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</si>
  <si>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</si>
  <si>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</si>
  <si>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</si>
  <si>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</si>
  <si>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</si>
  <si>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</si>
  <si>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</si>
  <si>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</si>
  <si>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</si>
  <si>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</si>
  <si>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</si>
  <si>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</si>
  <si>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</si>
  <si>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</si>
  <si>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</si>
  <si>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</si>
  <si>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</si>
  <si>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</si>
  <si>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</si>
  <si>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</si>
  <si>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</si>
  <si>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</si>
  <si>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</si>
  <si>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</si>
  <si>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</si>
  <si>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</si>
  <si>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</si>
  <si>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</si>
  <si>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</si>
  <si>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</si>
  <si>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</si>
  <si>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</si>
  <si>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</si>
  <si>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</si>
  <si>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</si>
  <si>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</si>
  <si>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</si>
  <si>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</si>
  <si>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</si>
  <si>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</si>
  <si>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</si>
  <si>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</si>
  <si>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</si>
  <si>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</si>
  <si>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</si>
  <si>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</si>
  <si>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</si>
  <si>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</si>
  <si>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</si>
  <si>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</si>
  <si>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</si>
  <si>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</si>
  <si>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</si>
  <si>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</si>
  <si>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</si>
  <si>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</si>
  <si>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</si>
  <si>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</si>
  <si>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</si>
  <si>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</si>
  <si>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</si>
  <si>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</si>
  <si>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</si>
  <si>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</si>
  <si>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</si>
  <si>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</si>
  <si>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</si>
  <si>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</si>
  <si>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</si>
  <si>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</si>
  <si>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</si>
  <si>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</si>
  <si>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</si>
  <si>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</si>
  <si>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</si>
  <si>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</si>
  <si>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</si>
  <si>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</si>
  <si>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</si>
  <si>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</si>
  <si>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</si>
  <si>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</si>
  <si>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</si>
  <si>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</si>
  <si>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</si>
  <si>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</si>
  <si>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</si>
  <si>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</si>
  <si>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</si>
  <si>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</si>
  <si>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</si>
  <si>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</si>
  <si>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</si>
  <si>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</si>
  <si>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</si>
  <si>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</si>
  <si>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</si>
  <si>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</si>
  <si>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</si>
  <si>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</si>
  <si>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</si>
  <si>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</si>
  <si>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</si>
  <si>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</si>
  <si>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</si>
  <si>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</si>
  <si>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</si>
  <si>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</si>
  <si>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</si>
  <si>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</si>
  <si>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</si>
  <si>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</si>
  <si>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</si>
  <si>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</si>
  <si>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</si>
  <si>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</si>
  <si>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</si>
  <si>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</si>
  <si>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</si>
  <si>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</si>
  <si>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</si>
  <si>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</si>
  <si>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</si>
  <si>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</si>
  <si>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</si>
  <si>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</si>
  <si>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</si>
  <si>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</si>
  <si>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</si>
  <si>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</si>
  <si>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</si>
  <si>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</si>
  <si>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</si>
  <si>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</si>
  <si>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</si>
  <si>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</si>
  <si>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</si>
  <si>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</si>
  <si>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</si>
  <si>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</si>
  <si>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</si>
  <si>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</si>
  <si>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</si>
  <si>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</si>
  <si>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</si>
  <si>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</si>
  <si>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</si>
  <si>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</si>
  <si>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</si>
  <si>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</si>
  <si>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</si>
  <si>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</si>
  <si>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</si>
  <si>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</si>
  <si>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</si>
  <si>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</si>
  <si>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</si>
  <si>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</si>
  <si>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</si>
  <si>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</si>
  <si>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</si>
  <si>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</si>
  <si>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</si>
  <si>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</si>
  <si>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</si>
  <si>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</si>
  <si>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</si>
  <si>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</si>
  <si>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</si>
  <si>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</si>
  <si>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</si>
  <si>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</si>
  <si>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</si>
  <si>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</si>
  <si>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</si>
  <si>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</si>
  <si>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</si>
  <si>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</si>
  <si>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</si>
  <si>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</si>
  <si>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</si>
  <si>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</si>
  <si>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</si>
  <si>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</si>
  <si>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</si>
  <si>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</si>
  <si>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</si>
  <si>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</si>
  <si>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</si>
  <si>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</si>
  <si>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</si>
  <si>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</si>
  <si>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</si>
  <si>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</si>
  <si>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</si>
  <si>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</si>
  <si>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</si>
  <si>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</si>
  <si>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</si>
  <si>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</si>
  <si>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</si>
  <si>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</si>
  <si>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</si>
  <si>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</si>
  <si>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</si>
  <si>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</si>
  <si>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</si>
  <si>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</si>
  <si>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</si>
  <si>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</si>
  <si>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</si>
  <si>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</si>
  <si>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</si>
  <si>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</si>
  <si>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</si>
  <si>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</si>
  <si>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</si>
  <si>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</si>
  <si>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</si>
  <si>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</si>
  <si>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</si>
  <si>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</si>
  <si>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</si>
  <si>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</si>
  <si>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</si>
  <si>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</si>
  <si>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</si>
  <si>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</si>
  <si>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</si>
  <si>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</si>
  <si>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</si>
  <si>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</si>
  <si>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</si>
  <si>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</si>
  <si>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</si>
  <si>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</si>
  <si>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</si>
  <si>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</si>
  <si>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</si>
  <si>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</si>
  <si>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</si>
  <si>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</si>
  <si>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</si>
  <si>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</si>
  <si>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</si>
  <si>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</si>
  <si>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</si>
  <si>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</si>
  <si>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</si>
  <si>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</si>
  <si>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</si>
  <si>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</si>
  <si>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</si>
  <si>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</si>
  <si>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</si>
  <si>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</si>
  <si>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</si>
  <si>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</si>
  <si>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</si>
  <si>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</si>
  <si>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</si>
  <si>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</si>
  <si>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</si>
  <si>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</si>
  <si>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</si>
  <si>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</si>
  <si>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</si>
  <si>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</si>
  <si>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</si>
  <si>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</si>
  <si>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</si>
  <si>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</si>
  <si>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</si>
  <si>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</si>
  <si>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</si>
  <si>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</si>
  <si>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</si>
  <si>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</si>
  <si>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</si>
  <si>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</si>
  <si>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</si>
  <si>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</si>
  <si>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</si>
  <si>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</si>
  <si>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</si>
  <si>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</si>
  <si>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</si>
  <si>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</si>
  <si>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</si>
  <si>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</si>
  <si>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</si>
  <si>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</si>
  <si>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</si>
  <si>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</si>
  <si>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</si>
  <si>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</si>
  <si>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</si>
  <si>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</si>
  <si>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</si>
  <si>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</si>
  <si>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</si>
  <si>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</si>
  <si>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</si>
  <si>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</si>
  <si>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</si>
  <si>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</si>
  <si>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</si>
  <si>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</si>
  <si>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</si>
  <si>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</si>
  <si>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</si>
  <si>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</si>
  <si>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</si>
  <si>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</si>
  <si>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</si>
  <si>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</si>
  <si>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</si>
  <si>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</si>
  <si>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</si>
  <si>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</si>
  <si>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</si>
  <si>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</si>
  <si>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</si>
  <si>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</si>
  <si>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</si>
  <si>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</si>
  <si>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</si>
  <si>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</si>
  <si>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</si>
  <si>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</si>
  <si>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</si>
  <si>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</si>
  <si>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</si>
  <si>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</si>
  <si>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</si>
  <si>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</si>
  <si>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</si>
  <si>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</si>
  <si>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</si>
  <si>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</si>
  <si>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</si>
  <si>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</si>
  <si>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</si>
  <si>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</si>
  <si>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</si>
  <si>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</si>
  <si>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</si>
  <si>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</si>
  <si>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</si>
  <si>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</si>
  <si>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</si>
  <si>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</si>
  <si>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</si>
  <si>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</si>
  <si>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</si>
  <si>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</si>
  <si>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</si>
  <si>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</si>
  <si>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</si>
  <si>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</si>
  <si>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</si>
  <si>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</si>
  <si>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</si>
  <si>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</si>
  <si>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</si>
  <si>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</si>
  <si>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</si>
  <si>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</si>
  <si>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</si>
  <si>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</si>
  <si>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</si>
  <si>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</si>
  <si>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</si>
  <si>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</si>
  <si>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</si>
  <si>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</si>
  <si>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</si>
  <si>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</si>
  <si>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</si>
  <si>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</si>
  <si>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</si>
  <si>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</si>
  <si>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</si>
  <si>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</si>
  <si>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</si>
  <si>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</si>
  <si>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</si>
  <si>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</si>
  <si>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</si>
  <si>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</si>
  <si>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</si>
  <si>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</si>
  <si>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</si>
  <si>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</si>
  <si>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</si>
  <si>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</si>
  <si>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</si>
  <si>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</si>
  <si>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</si>
  <si>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</si>
  <si>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</si>
  <si>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</si>
  <si>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</si>
  <si>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</si>
  <si>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</si>
  <si>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</si>
  <si>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</si>
  <si>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</si>
  <si>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</si>
  <si>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</si>
  <si>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</si>
  <si>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</si>
  <si>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</si>
  <si>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</si>
  <si>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</si>
  <si>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</si>
  <si>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</si>
  <si>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</si>
  <si>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</si>
  <si>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</si>
  <si>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</si>
  <si>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</si>
  <si>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</si>
  <si>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</si>
  <si>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</si>
  <si>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</si>
  <si>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</si>
  <si>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</si>
  <si>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</si>
  <si>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</si>
  <si>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</si>
  <si>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</si>
  <si>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</si>
  <si>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</si>
  <si>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</si>
  <si>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</si>
  <si>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</si>
  <si>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</si>
  <si>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</si>
  <si>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</si>
  <si>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</si>
  <si>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</si>
  <si>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</si>
  <si>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</si>
  <si>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</si>
  <si>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</si>
  <si>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</si>
  <si>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</si>
  <si>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</si>
  <si>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</si>
  <si>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</si>
  <si>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</si>
  <si>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</si>
  <si>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</si>
  <si>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</si>
  <si>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</si>
  <si>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</si>
  <si>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</si>
  <si>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</si>
  <si>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</si>
  <si>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</si>
  <si>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</si>
  <si>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</si>
  <si>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</si>
  <si>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</si>
  <si>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</si>
  <si>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</si>
  <si>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</si>
  <si>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</si>
  <si>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</si>
  <si>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</si>
  <si>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</si>
  <si>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</si>
  <si>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</si>
  <si>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</si>
  <si>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</si>
  <si>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</si>
  <si>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</si>
  <si>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</si>
  <si>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</si>
  <si>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</si>
  <si>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</si>
  <si>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</si>
  <si>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</si>
  <si>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</si>
  <si>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</si>
  <si>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</si>
  <si>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</si>
  <si>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</si>
  <si>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</si>
  <si>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</si>
  <si>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</si>
  <si>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</si>
  <si>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</si>
  <si>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</si>
  <si>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</si>
  <si>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</si>
  <si>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</si>
  <si>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</si>
  <si>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</si>
  <si>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</si>
  <si>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</si>
  <si>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</si>
  <si>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</si>
  <si>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</si>
  <si>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</si>
  <si>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</si>
  <si>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</si>
  <si>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</si>
  <si>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</si>
  <si>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</si>
  <si>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</si>
  <si>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</si>
  <si>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</si>
  <si>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</si>
  <si>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</si>
  <si>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</si>
  <si>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</si>
  <si>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</si>
  <si>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</si>
  <si>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</si>
  <si>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</si>
  <si>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</si>
  <si>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</si>
  <si>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</si>
  <si>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</si>
  <si>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</si>
  <si>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</si>
  <si>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</si>
  <si>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</si>
  <si>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</si>
  <si>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</si>
  <si>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</si>
  <si>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</si>
  <si>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</si>
  <si>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</si>
  <si>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</si>
  <si>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</si>
  <si>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</si>
  <si>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</si>
  <si>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</si>
  <si>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</si>
  <si>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</si>
  <si>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</si>
  <si>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</si>
  <si>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</si>
  <si>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</si>
  <si>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</si>
  <si>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</si>
  <si>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</si>
  <si>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</si>
  <si>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</si>
  <si>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</si>
  <si>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</si>
  <si>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</si>
  <si>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</si>
  <si>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</si>
  <si>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</si>
  <si>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</si>
  <si>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</si>
  <si>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</si>
  <si>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</si>
  <si>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</si>
  <si>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</si>
  <si>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</si>
  <si>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</si>
  <si>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</si>
  <si>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</si>
  <si>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</si>
  <si>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</si>
  <si>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</si>
  <si>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</si>
  <si>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</si>
  <si>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</si>
  <si>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</si>
  <si>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</si>
  <si>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</si>
  <si>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</si>
  <si>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</si>
  <si>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</si>
  <si>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</si>
  <si>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</si>
  <si>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</si>
  <si>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</si>
  <si>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</si>
  <si>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</si>
  <si>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</si>
  <si>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</si>
  <si>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</si>
  <si>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</si>
  <si>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</si>
  <si>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</si>
  <si>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</si>
  <si>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</si>
  <si>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</si>
  <si>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</si>
  <si>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</si>
  <si>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</si>
  <si>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</si>
  <si>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</si>
  <si>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</si>
  <si>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</si>
  <si>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</si>
  <si>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</si>
  <si>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</si>
  <si>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</si>
  <si>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</si>
  <si>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</si>
  <si>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</si>
  <si>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</si>
  <si>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</si>
  <si>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</si>
  <si>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</si>
  <si>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</si>
  <si>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</si>
  <si>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</si>
  <si>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</si>
  <si>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</si>
  <si>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</si>
  <si>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</si>
  <si>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</si>
  <si>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</si>
  <si>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</si>
  <si>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</si>
  <si>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</si>
  <si>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</si>
  <si>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</si>
  <si>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</si>
  <si>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</si>
  <si>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</si>
  <si>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</si>
  <si>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</si>
  <si>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</si>
  <si>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</si>
  <si>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</si>
  <si>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</si>
  <si>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</si>
  <si>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</si>
  <si>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</si>
  <si>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</si>
  <si>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</si>
  <si>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</si>
  <si>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</si>
  <si>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</si>
  <si>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</si>
  <si>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</si>
  <si>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</si>
  <si>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</si>
  <si>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</si>
  <si>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</si>
  <si>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</si>
  <si>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</si>
  <si>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</si>
  <si>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</si>
  <si>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</si>
  <si>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</si>
  <si>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</si>
  <si>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</si>
  <si>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</si>
  <si>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</si>
  <si>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</si>
  <si>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</si>
  <si>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</si>
  <si>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</si>
  <si>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</si>
  <si>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</si>
  <si>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</si>
  <si>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</si>
  <si>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</si>
  <si>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</si>
  <si>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</si>
  <si>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</si>
  <si>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</si>
  <si>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</si>
  <si>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</si>
  <si>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</si>
  <si>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</si>
  <si>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</si>
  <si>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</si>
  <si>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</si>
  <si>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</si>
  <si>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</si>
  <si>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</si>
  <si>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</si>
  <si>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</si>
  <si>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</si>
  <si>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</si>
  <si>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</si>
  <si>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</si>
  <si>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</si>
  <si>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</si>
  <si>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</si>
  <si>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</si>
  <si>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</si>
  <si>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</si>
  <si>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</si>
  <si>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</si>
  <si>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</si>
  <si>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</si>
  <si>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</si>
  <si>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</si>
  <si>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</si>
  <si>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</si>
  <si>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</si>
  <si>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</si>
  <si>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</si>
  <si>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</si>
  <si>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</si>
  <si>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</si>
  <si>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</si>
  <si>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</si>
  <si>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</si>
  <si>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</si>
  <si>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</si>
  <si>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</si>
  <si>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</si>
  <si>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</si>
  <si>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</si>
  <si>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</si>
  <si>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</si>
  <si>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</si>
  <si>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</si>
  <si>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</si>
  <si>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</si>
  <si>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</si>
  <si>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</si>
  <si>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</si>
  <si>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</si>
  <si>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</si>
  <si>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</si>
  <si>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</si>
  <si>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</si>
  <si>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</si>
  <si>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</si>
  <si>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</si>
  <si>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</si>
  <si>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</si>
  <si>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</si>
  <si>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</si>
  <si>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</si>
  <si>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</si>
  <si>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</si>
  <si>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</si>
  <si>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</si>
  <si>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</si>
  <si>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</si>
  <si>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</si>
  <si>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</si>
  <si>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</si>
  <si>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</si>
  <si>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</si>
  <si>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</si>
  <si>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</si>
  <si>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</si>
  <si>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</si>
  <si>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</si>
  <si>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</si>
  <si>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</si>
  <si>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</si>
  <si>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</si>
  <si>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</si>
  <si>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</si>
  <si>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</si>
  <si>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</si>
  <si>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</si>
  <si>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</si>
  <si>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</si>
  <si>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</si>
  <si>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</si>
  <si>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</si>
  <si>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</si>
  <si>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</si>
  <si>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</si>
  <si>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</si>
  <si>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</si>
  <si>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</si>
  <si>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</si>
  <si>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</si>
  <si>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</si>
  <si>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</si>
  <si>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</si>
  <si>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</si>
  <si>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</si>
  <si>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</si>
  <si>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</si>
  <si>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</si>
  <si>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</si>
  <si>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</si>
  <si>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</si>
  <si>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</si>
  <si>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</si>
  <si>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</si>
  <si>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</si>
  <si>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</si>
  <si>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</si>
  <si>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</si>
  <si>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</si>
  <si>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</si>
  <si>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</si>
  <si>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</si>
  <si>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</si>
  <si>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</si>
  <si>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</si>
  <si>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</si>
  <si>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</si>
  <si>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</si>
  <si>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</si>
  <si>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</si>
  <si>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</si>
  <si>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</si>
  <si>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</si>
  <si>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</si>
  <si>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</si>
  <si>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</si>
  <si>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</si>
  <si>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</si>
  <si>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</si>
  <si>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</si>
  <si>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</si>
  <si>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</si>
  <si>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</si>
  <si>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</si>
  <si>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</si>
  <si>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</si>
  <si>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</si>
  <si>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</si>
  <si>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</si>
  <si>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</si>
  <si>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</si>
  <si>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</si>
  <si>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</si>
  <si>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</si>
  <si>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</si>
  <si>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</si>
  <si>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</si>
  <si>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</si>
  <si>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</si>
  <si>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</si>
  <si>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</si>
  <si>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</si>
  <si>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</si>
  <si>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</si>
  <si>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</si>
  <si>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</si>
  <si>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</si>
  <si>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</si>
  <si>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</si>
  <si>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</si>
  <si>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</si>
  <si>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</si>
  <si>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</si>
  <si>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</si>
  <si>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</si>
  <si>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</si>
  <si>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</si>
  <si>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</si>
  <si>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</si>
  <si>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</si>
  <si>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</si>
  <si>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</si>
  <si>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</si>
  <si>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</si>
  <si>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</si>
  <si>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</si>
  <si>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</si>
  <si>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</si>
  <si>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</si>
  <si>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</si>
  <si>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</si>
  <si>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</si>
  <si>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</si>
  <si>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</si>
  <si>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</si>
  <si>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</si>
  <si>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</si>
  <si>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</si>
  <si>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</si>
  <si>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</si>
  <si>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</si>
  <si>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</si>
  <si>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</si>
  <si>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</si>
  <si>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</si>
  <si>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</si>
  <si>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</si>
  <si>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</si>
  <si>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</si>
  <si>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</si>
  <si>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</si>
  <si>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</si>
  <si>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</si>
  <si>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</si>
  <si>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</si>
  <si>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</si>
  <si>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</si>
  <si>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</si>
  <si>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</si>
  <si>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</si>
  <si>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</si>
  <si>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</si>
  <si>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</si>
  <si>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</si>
  <si>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</si>
  <si>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</si>
  <si>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</si>
  <si>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</si>
  <si>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</si>
  <si>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</si>
  <si>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</si>
  <si>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</si>
  <si>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</si>
  <si>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</si>
  <si>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</si>
  <si>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</si>
  <si>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</si>
  <si>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</si>
  <si>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</si>
  <si>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</si>
  <si>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</si>
  <si>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</si>
  <si>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</si>
  <si>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</si>
  <si>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</si>
  <si>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</si>
  <si>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</si>
  <si>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</si>
  <si>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</si>
  <si>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</si>
  <si>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</si>
  <si>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</si>
  <si>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</si>
  <si>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</si>
  <si>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</si>
  <si>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</si>
  <si>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</si>
  <si>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</si>
  <si>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</si>
  <si>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</si>
  <si>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</si>
  <si>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</si>
  <si>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</si>
  <si>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</si>
  <si>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</si>
  <si>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</si>
  <si>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</si>
  <si>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</si>
  <si>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</si>
  <si>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</si>
  <si>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</si>
  <si>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</si>
  <si>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</si>
  <si>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</si>
  <si>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</si>
  <si>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</si>
  <si>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</si>
  <si>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</si>
  <si>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</si>
  <si>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</si>
  <si>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</si>
  <si>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</si>
  <si>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</si>
  <si>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</si>
  <si>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</si>
  <si>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</si>
  <si>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</si>
  <si>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</si>
  <si>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</si>
  <si>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</si>
  <si>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</si>
  <si>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</si>
  <si>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</si>
  <si>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</si>
  <si>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</si>
  <si>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</si>
  <si>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</si>
  <si>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</si>
  <si>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</si>
  <si>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</si>
  <si>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</si>
  <si>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</si>
  <si>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</si>
  <si>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</si>
  <si>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</si>
  <si>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</si>
  <si>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</si>
  <si>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</si>
  <si>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</si>
  <si>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</si>
  <si>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</si>
  <si>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</si>
  <si>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</si>
  <si>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</si>
  <si>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</si>
  <si>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</si>
  <si>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</si>
  <si>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</si>
  <si>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</si>
  <si>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</si>
  <si>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</si>
  <si>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</si>
  <si>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</si>
  <si>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</si>
  <si>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</si>
  <si>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</si>
  <si>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</si>
  <si>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</si>
  <si>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</si>
  <si>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</si>
  <si>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</si>
  <si>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</si>
  <si>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</si>
  <si>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</si>
  <si>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</si>
  <si>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</si>
  <si>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</si>
  <si>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</si>
  <si>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</si>
  <si>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</si>
  <si>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</si>
  <si>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</si>
  <si>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</si>
  <si>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</si>
  <si>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</si>
  <si>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</si>
  <si>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</si>
  <si>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</si>
  <si>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</si>
  <si>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</si>
  <si>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</si>
  <si>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</si>
  <si>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</si>
  <si>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</si>
  <si>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</si>
  <si>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</si>
  <si>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</si>
  <si>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</si>
  <si>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</si>
  <si>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</si>
  <si>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</si>
  <si>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</si>
  <si>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</si>
  <si>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</si>
  <si>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</si>
  <si>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</si>
  <si>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</si>
  <si>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</si>
  <si>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</si>
  <si>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</si>
  <si>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</si>
  <si>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</si>
  <si>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</si>
  <si>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</si>
  <si>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</si>
  <si>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</si>
  <si>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</si>
  <si>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</si>
  <si>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</si>
  <si>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</si>
  <si>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</si>
  <si>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</si>
  <si>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</si>
  <si>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</si>
  <si>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</si>
  <si>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</si>
  <si>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</si>
  <si>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</si>
  <si>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</si>
  <si>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</si>
  <si>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</si>
  <si>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</si>
  <si>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</si>
  <si>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</si>
  <si>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</si>
  <si>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</si>
  <si>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</si>
  <si>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</si>
  <si>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</si>
  <si>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</si>
  <si>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</si>
  <si>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</si>
  <si>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</si>
  <si>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</si>
  <si>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</si>
  <si>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</si>
  <si>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</si>
  <si>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</si>
  <si>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</si>
  <si>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</si>
  <si>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</si>
  <si>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</si>
  <si>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</si>
  <si>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</si>
  <si>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</si>
  <si>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</si>
  <si>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</si>
  <si>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</si>
  <si>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</si>
  <si>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</si>
  <si>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</si>
  <si>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</si>
  <si>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</si>
  <si>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</si>
  <si>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</si>
  <si>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</si>
  <si>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</si>
  <si>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</si>
  <si>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</si>
  <si>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</si>
  <si>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</si>
  <si>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</si>
  <si>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</si>
  <si>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</si>
  <si>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</si>
  <si>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</si>
  <si>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</si>
  <si>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</si>
  <si>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</si>
  <si>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</si>
  <si>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</si>
  <si>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</si>
  <si>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</si>
  <si>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</si>
  <si>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</si>
  <si>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</si>
  <si>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</si>
  <si>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</si>
  <si>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</si>
  <si>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</si>
  <si>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</si>
  <si>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</si>
  <si>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</si>
  <si>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</si>
  <si>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</si>
  <si>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</si>
  <si>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</si>
  <si>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</si>
  <si>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</si>
  <si>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</si>
  <si>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</si>
  <si>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</si>
  <si>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</si>
  <si>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</si>
  <si>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</si>
  <si>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</si>
  <si>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</si>
  <si>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</si>
  <si>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</si>
  <si>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</si>
  <si>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</si>
  <si>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</si>
  <si>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</si>
  <si>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</si>
  <si>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</si>
  <si>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</si>
  <si>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</si>
  <si>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</si>
  <si>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</si>
  <si>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</si>
  <si>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</si>
  <si>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</si>
  <si>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</si>
  <si>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</si>
  <si>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</si>
  <si>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</si>
  <si>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</si>
  <si>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</si>
  <si>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</si>
  <si>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</si>
  <si>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</si>
  <si>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</si>
  <si>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</si>
  <si>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</si>
  <si>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</si>
  <si>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</si>
  <si>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</si>
  <si>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</si>
  <si>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</si>
  <si>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</si>
  <si>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</si>
  <si>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</si>
  <si>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</si>
  <si>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</si>
  <si>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</si>
  <si>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</si>
  <si>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</si>
  <si>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</si>
  <si>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</si>
  <si>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</si>
  <si>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</si>
  <si>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</si>
  <si>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</si>
  <si>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</si>
  <si>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</si>
  <si>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</si>
  <si>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</si>
  <si>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</si>
  <si>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</si>
  <si>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</si>
  <si>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</si>
  <si>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</si>
  <si>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</si>
  <si>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</si>
  <si>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</si>
  <si>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</si>
  <si>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</si>
  <si>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</si>
  <si>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</si>
  <si>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</si>
  <si>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</si>
  <si>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</si>
  <si>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</si>
  <si>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</si>
  <si>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</si>
  <si>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</si>
  <si>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</si>
  <si>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</si>
  <si>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</si>
  <si>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</si>
  <si>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</si>
  <si>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</si>
  <si>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</si>
  <si>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</si>
  <si>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</si>
  <si>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</si>
  <si>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</si>
  <si>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</si>
  <si>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</si>
  <si>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</si>
  <si>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</si>
  <si>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</si>
  <si>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</si>
  <si>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</si>
  <si>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</si>
  <si>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</si>
  <si>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</si>
  <si>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</si>
  <si>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</si>
  <si>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</si>
  <si>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</si>
  <si>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</si>
  <si>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</si>
  <si>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</si>
  <si>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</si>
  <si>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</si>
  <si>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</si>
  <si>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</si>
  <si>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</si>
  <si>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</si>
  <si>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</si>
  <si>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</si>
  <si>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</si>
  <si>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</si>
  <si>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</si>
  <si>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</si>
  <si>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</si>
  <si>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</si>
  <si>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</si>
  <si>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</si>
  <si>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</si>
  <si>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</si>
  <si>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</si>
  <si>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</si>
  <si>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</si>
  <si>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</si>
  <si>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</si>
  <si>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</si>
  <si>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</si>
  <si>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</si>
  <si>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</si>
  <si>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</si>
  <si>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</si>
  <si>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</si>
  <si>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</si>
  <si>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</si>
  <si>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</si>
  <si>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</si>
  <si>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</si>
  <si>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</si>
  <si>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</si>
  <si>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</si>
  <si>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</si>
  <si>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</si>
  <si>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</si>
  <si>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</si>
  <si>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</si>
  <si>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</si>
  <si>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</si>
  <si>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</si>
  <si>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</si>
  <si>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</si>
  <si>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</si>
  <si>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</si>
  <si>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</si>
  <si>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</si>
  <si>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</si>
  <si>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</si>
  <si>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</si>
  <si>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</si>
  <si>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</si>
  <si>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</si>
  <si>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</si>
  <si>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</si>
  <si>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</si>
  <si>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</si>
  <si>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</si>
  <si>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</si>
  <si>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</si>
  <si>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</si>
  <si>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</si>
  <si>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</si>
  <si>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</si>
  <si>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</si>
  <si>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</si>
  <si>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</si>
  <si>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</si>
  <si>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</si>
  <si>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</si>
  <si>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</si>
  <si>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</si>
  <si>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</si>
  <si>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</si>
  <si>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</si>
  <si>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</si>
  <si>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</si>
  <si>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</si>
  <si>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</si>
  <si>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</si>
  <si>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</si>
  <si>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</si>
  <si>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</si>
  <si>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</si>
  <si>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</si>
  <si>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</si>
  <si>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</si>
  <si>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</si>
  <si>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</si>
  <si>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</si>
  <si>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</si>
  <si>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</si>
  <si>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</si>
  <si>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</si>
  <si>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</si>
  <si>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</si>
  <si>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</si>
  <si>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</si>
  <si>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</si>
  <si>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</si>
  <si>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</si>
  <si>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</si>
  <si>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</si>
  <si>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</si>
  <si>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</si>
  <si>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</si>
  <si>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</si>
  <si>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</si>
  <si>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</si>
  <si>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</si>
  <si>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</si>
  <si>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</si>
  <si>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</si>
  <si>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</si>
  <si>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</si>
  <si>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</si>
  <si>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</si>
  <si>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</si>
  <si>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</si>
  <si>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</si>
  <si>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</si>
  <si>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</si>
  <si>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</si>
  <si>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</si>
  <si>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</si>
  <si>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</si>
  <si>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</si>
  <si>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</si>
  <si>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</si>
  <si>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</si>
  <si>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</si>
  <si>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</si>
  <si>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</si>
  <si>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</si>
  <si>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</si>
  <si>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</si>
  <si>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</si>
  <si>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</si>
  <si>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</si>
  <si>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</si>
  <si>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</si>
  <si>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</si>
  <si>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</si>
  <si>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</si>
  <si>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</si>
  <si>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</si>
  <si>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</si>
  <si>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</si>
  <si>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</si>
  <si>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</si>
  <si>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</si>
  <si>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</si>
  <si>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</si>
  <si>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</si>
  <si>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</si>
  <si>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</si>
  <si>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</si>
  <si>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</si>
  <si>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</si>
  <si>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</si>
  <si>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</si>
  <si>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</si>
  <si>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</si>
  <si>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</si>
  <si>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</si>
  <si>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</si>
  <si>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</si>
  <si>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</si>
  <si>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</si>
  <si>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</si>
  <si>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</si>
  <si>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</si>
  <si>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</si>
  <si>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</si>
  <si>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</si>
  <si>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</si>
  <si>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</si>
  <si>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</si>
  <si>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</si>
  <si>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</si>
  <si>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</si>
  <si>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</si>
  <si>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</si>
  <si>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</si>
  <si>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</si>
  <si>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</si>
  <si>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</si>
  <si>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</si>
  <si>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</si>
  <si>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</si>
  <si>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</si>
  <si>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</si>
  <si>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</si>
  <si>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</si>
  <si>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</si>
  <si>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</si>
  <si>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</si>
  <si>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</si>
  <si>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</si>
  <si>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</si>
  <si>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</si>
  <si>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</si>
  <si>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</si>
  <si>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</si>
  <si>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</si>
  <si>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</si>
  <si>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</si>
  <si>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</si>
  <si>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</si>
  <si>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</si>
  <si>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</si>
  <si>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</si>
  <si>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</si>
  <si>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</si>
  <si>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</si>
  <si>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</si>
  <si>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</si>
  <si>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</si>
  <si>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</si>
  <si>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</si>
  <si>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</si>
  <si>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</si>
  <si>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</si>
  <si>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</si>
  <si>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</si>
  <si>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</si>
  <si>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</si>
  <si>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</si>
  <si>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</si>
  <si>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</si>
  <si>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</si>
  <si>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</si>
  <si>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</si>
  <si>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</si>
  <si>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</si>
  <si>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</si>
  <si>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</si>
  <si>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</si>
  <si>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</si>
  <si>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</si>
  <si>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</si>
  <si>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</si>
  <si>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</si>
  <si>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</si>
  <si>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</si>
  <si>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</si>
  <si>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</si>
  <si>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</si>
  <si>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</si>
  <si>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</si>
  <si>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</si>
  <si>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</si>
  <si>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</si>
  <si>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</si>
  <si>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</si>
  <si>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</si>
  <si>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</si>
  <si>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</si>
  <si>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</si>
  <si>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</si>
  <si>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</si>
  <si>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</si>
  <si>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</si>
  <si>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</si>
  <si>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</si>
  <si>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</si>
  <si>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</si>
  <si>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</si>
  <si>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</si>
  <si>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</si>
  <si>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</si>
  <si>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</si>
  <si>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</si>
  <si>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</si>
  <si>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</si>
  <si>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</si>
  <si>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</si>
  <si>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</si>
  <si>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</si>
  <si>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</si>
  <si>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</si>
  <si>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</si>
  <si>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</si>
  <si>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</si>
  <si>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</si>
  <si>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</si>
  <si>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</si>
  <si>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</si>
  <si>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</si>
  <si>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</si>
  <si>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</si>
  <si>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</si>
  <si>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</si>
  <si>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</si>
  <si>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</si>
  <si>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</si>
  <si>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</si>
  <si>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</si>
  <si>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</si>
  <si>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</si>
  <si>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</si>
  <si>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</si>
  <si>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</si>
  <si>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</si>
  <si>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</si>
  <si>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</si>
  <si>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</si>
  <si>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</si>
  <si>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</si>
  <si>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</si>
  <si>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</si>
  <si>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</si>
  <si>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</si>
  <si>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</si>
  <si>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</si>
  <si>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</si>
  <si>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</si>
  <si>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</si>
  <si>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</si>
  <si>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</si>
  <si>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</si>
  <si>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</si>
  <si>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</si>
  <si>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</si>
  <si>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</si>
  <si>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</si>
  <si>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</si>
  <si>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</si>
  <si>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</si>
  <si>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</si>
  <si>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</si>
  <si>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</si>
  <si>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</si>
  <si>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</si>
  <si>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</si>
  <si>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</si>
  <si>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</si>
  <si>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</si>
  <si>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</si>
  <si>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</si>
  <si>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</si>
  <si>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</si>
  <si>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</si>
  <si>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</si>
  <si>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</si>
  <si>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</si>
  <si>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</si>
  <si>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</si>
  <si>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</si>
  <si>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</si>
  <si>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</si>
  <si>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</si>
  <si>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</si>
  <si>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</si>
  <si>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</si>
  <si>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</si>
  <si>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</si>
  <si>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</si>
  <si>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</si>
  <si>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</si>
  <si>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</si>
  <si>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</si>
  <si>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</si>
  <si>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</si>
  <si>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</si>
  <si>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</si>
  <si>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</si>
  <si>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</si>
  <si>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</si>
  <si>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</si>
  <si>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</si>
  <si>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</si>
  <si>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</si>
  <si>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</si>
  <si>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</si>
  <si>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</si>
  <si>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</si>
  <si>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</si>
  <si>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</si>
  <si>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</si>
  <si>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</si>
  <si>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</si>
  <si>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</si>
  <si>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</si>
  <si>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</si>
  <si>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</si>
  <si>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</si>
  <si>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</si>
  <si>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</si>
  <si>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</si>
  <si>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</si>
  <si>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</si>
  <si>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</si>
  <si>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</si>
  <si>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</si>
  <si>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</si>
  <si>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</si>
  <si>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</si>
  <si>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</si>
  <si>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</si>
  <si>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</si>
  <si>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</si>
  <si>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</si>
  <si>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</si>
  <si>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</si>
  <si>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</si>
  <si>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</si>
  <si>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</si>
  <si>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</si>
  <si>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</si>
  <si>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</si>
  <si>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</si>
  <si>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</si>
  <si>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</si>
  <si>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</si>
  <si>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</si>
  <si>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</si>
  <si>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</si>
  <si>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</si>
  <si>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</si>
  <si>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</si>
  <si>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</si>
  <si>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</si>
  <si>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</si>
  <si>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</si>
  <si>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</si>
  <si>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</si>
  <si>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</si>
  <si>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</si>
  <si>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</si>
  <si>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</si>
  <si>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</si>
  <si>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</si>
  <si>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</si>
  <si>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</si>
  <si>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</si>
  <si>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</si>
  <si>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</si>
  <si>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</si>
  <si>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</si>
  <si>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</si>
  <si>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</si>
  <si>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</si>
  <si>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</si>
  <si>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</si>
  <si>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</si>
  <si>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</si>
  <si>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</si>
  <si>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</si>
  <si>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</si>
  <si>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</si>
  <si>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</si>
  <si>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</si>
  <si>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</si>
  <si>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</si>
  <si>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</si>
  <si>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</si>
  <si>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</si>
  <si>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</si>
  <si>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</si>
  <si>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</si>
  <si>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</si>
  <si>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</si>
  <si>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</si>
  <si>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</si>
  <si>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</si>
  <si>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</si>
  <si>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</si>
  <si>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</si>
  <si>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</si>
  <si>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</si>
  <si>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</si>
  <si>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</si>
  <si>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</si>
  <si>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</si>
  <si>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</si>
  <si>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</si>
  <si>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</si>
  <si>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</si>
  <si>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</si>
  <si>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</si>
  <si>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</si>
  <si>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</si>
  <si>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</si>
  <si>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</si>
  <si>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</si>
  <si>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</si>
  <si>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</si>
  <si>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</si>
  <si>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</si>
  <si>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</si>
  <si>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</si>
  <si>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</si>
  <si>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</si>
  <si>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</si>
  <si>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</si>
  <si>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</si>
  <si>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</si>
  <si>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</si>
  <si>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</si>
  <si>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</si>
  <si>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</si>
  <si>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</si>
  <si>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</si>
  <si>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</si>
  <si>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</si>
  <si>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</si>
  <si>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</si>
  <si>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</si>
  <si>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</si>
  <si>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</si>
  <si>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</si>
  <si>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</si>
  <si>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</si>
  <si>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</si>
  <si>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</si>
  <si>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</si>
  <si>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</si>
  <si>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</si>
  <si>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</si>
  <si>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</si>
  <si>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</si>
  <si>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</si>
  <si>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</si>
  <si>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</si>
  <si>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</si>
  <si>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</si>
  <si>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</si>
  <si>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</si>
  <si>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</si>
  <si>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</si>
  <si>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</si>
  <si>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</si>
  <si>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</si>
  <si>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</si>
  <si>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</si>
  <si>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</si>
  <si>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</si>
  <si>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</si>
  <si>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</si>
  <si>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</si>
  <si>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</si>
  <si>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</si>
  <si>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</si>
  <si>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</si>
  <si>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</si>
  <si>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</si>
  <si>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</si>
  <si>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</si>
  <si>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</si>
  <si>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</si>
  <si>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</si>
  <si>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</si>
  <si>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</si>
  <si>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</si>
  <si>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</si>
  <si>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</si>
  <si>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</si>
  <si>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</si>
  <si>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</si>
  <si>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</si>
  <si>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</si>
  <si>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</si>
  <si>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</si>
  <si>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</si>
  <si>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</si>
  <si>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</si>
  <si>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</si>
  <si>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</si>
  <si>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</si>
  <si>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</si>
  <si>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</si>
  <si>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</si>
  <si>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</si>
  <si>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</si>
  <si>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</si>
  <si>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</si>
  <si>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</si>
  <si>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</si>
  <si>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</si>
  <si>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</si>
  <si>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</si>
  <si>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</si>
  <si>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</si>
  <si>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</si>
  <si>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</si>
  <si>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</si>
  <si>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</si>
  <si>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</si>
  <si>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</si>
  <si>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</si>
  <si>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</si>
  <si>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</si>
  <si>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</si>
  <si>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</si>
  <si>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</si>
  <si>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</si>
  <si>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</si>
  <si>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</si>
  <si>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</si>
  <si>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</si>
  <si>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</si>
  <si>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</si>
  <si>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</si>
  <si>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</si>
  <si>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</si>
  <si>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</si>
  <si>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</si>
  <si>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</si>
  <si>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</si>
  <si>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</si>
  <si>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</si>
  <si>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</si>
  <si>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</si>
  <si>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</si>
  <si>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</si>
  <si>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</si>
  <si>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</si>
  <si>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</si>
  <si>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</si>
  <si>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</si>
  <si>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</si>
  <si>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</si>
  <si>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</si>
  <si>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</si>
  <si>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</si>
  <si>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</si>
  <si>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</si>
  <si>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</si>
  <si>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</si>
  <si>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</si>
  <si>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</si>
  <si>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</si>
  <si>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</si>
  <si>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</si>
  <si>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</si>
  <si>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</si>
  <si>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</si>
  <si>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</si>
  <si>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</si>
  <si>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</si>
  <si>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</si>
  <si>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</si>
  <si>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</si>
  <si>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</si>
  <si>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</si>
  <si>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</si>
  <si>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</si>
  <si>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</si>
  <si>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</si>
  <si>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</si>
  <si>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</si>
  <si>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</si>
  <si>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</si>
  <si>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</si>
  <si>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</si>
  <si>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</si>
  <si>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</si>
  <si>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</si>
  <si>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</si>
  <si>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</si>
  <si>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</si>
  <si>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</si>
  <si>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</si>
  <si>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</si>
  <si>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</si>
  <si>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</si>
  <si>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</si>
  <si>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</si>
  <si>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</si>
  <si>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</si>
  <si>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</si>
  <si>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</si>
  <si>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</si>
  <si>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</si>
  <si>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</si>
  <si>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</si>
  <si>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</si>
  <si>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</si>
  <si>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</si>
  <si>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</si>
  <si>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</si>
  <si>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</si>
  <si>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</si>
  <si>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</si>
  <si>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</si>
  <si>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</si>
  <si>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</si>
  <si>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</si>
  <si>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</si>
  <si>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</si>
  <si>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</si>
  <si>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</si>
  <si>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</si>
  <si>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</si>
  <si>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</si>
  <si>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</si>
  <si>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</si>
  <si>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</si>
  <si>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</si>
  <si>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</si>
  <si>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</si>
  <si>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</si>
  <si>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</si>
  <si>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</si>
  <si>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</si>
  <si>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</si>
  <si>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</si>
  <si>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</si>
  <si>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</si>
  <si>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</si>
  <si>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</si>
  <si>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</si>
  <si>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</si>
  <si>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</si>
  <si>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</si>
  <si>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</si>
  <si>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</si>
  <si>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</si>
  <si>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</si>
  <si>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</si>
  <si>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</si>
  <si>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</si>
  <si>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</si>
  <si>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</si>
  <si>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</si>
  <si>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</si>
  <si>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</si>
  <si>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</si>
  <si>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</si>
  <si>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</si>
  <si>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</si>
  <si>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</si>
  <si>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</si>
  <si>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</si>
  <si>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</si>
  <si>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</si>
  <si>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</si>
  <si>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</si>
  <si>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</si>
  <si>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</si>
  <si>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</si>
  <si>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</si>
  <si>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</si>
  <si>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</si>
  <si>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</si>
  <si>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</si>
  <si>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</si>
  <si>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</si>
  <si>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</si>
  <si>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</si>
  <si>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</si>
  <si>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</si>
  <si>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</si>
  <si>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</si>
  <si>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</si>
  <si>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</si>
  <si>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</si>
  <si>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</si>
  <si>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</si>
  <si>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</si>
  <si>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</si>
  <si>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</si>
  <si>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</si>
  <si>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</si>
  <si>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</si>
  <si>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</si>
  <si>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</si>
  <si>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</si>
  <si>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</si>
  <si>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</si>
  <si>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</si>
  <si>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</si>
  <si>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</si>
  <si>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</si>
  <si>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</si>
  <si>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</si>
  <si>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</si>
  <si>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</si>
  <si>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</si>
  <si>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</si>
  <si>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</si>
  <si>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</si>
  <si>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</si>
  <si>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</si>
  <si>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</si>
  <si>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</si>
  <si>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</si>
  <si>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</si>
  <si>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</si>
  <si>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</si>
  <si>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</si>
  <si>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</si>
  <si>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</si>
  <si>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</si>
  <si>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</si>
  <si>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</si>
  <si>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</si>
  <si>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</si>
  <si>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</si>
  <si>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</si>
  <si>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</si>
  <si>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</si>
  <si>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</si>
  <si>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</si>
  <si>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</si>
  <si>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</si>
  <si>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</si>
  <si>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</si>
  <si>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</si>
  <si>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</si>
  <si>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</si>
  <si>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</si>
  <si>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</si>
  <si>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</si>
  <si>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</si>
  <si>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</si>
  <si>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</si>
  <si>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</si>
  <si>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</si>
  <si>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</si>
  <si>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</si>
  <si>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</si>
  <si>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</si>
  <si>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</si>
  <si>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</si>
  <si>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</si>
  <si>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</si>
  <si>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</si>
  <si>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</si>
  <si>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</si>
  <si>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</si>
  <si>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</si>
  <si>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</si>
  <si>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</si>
  <si>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</si>
  <si>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</si>
  <si>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</si>
  <si>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</si>
  <si>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</si>
  <si>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</si>
  <si>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</si>
  <si>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</si>
  <si>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</si>
  <si>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</si>
  <si>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</si>
  <si>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</si>
  <si>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</si>
  <si>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</si>
  <si>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</si>
  <si>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</si>
  <si>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</si>
  <si>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</si>
  <si>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</si>
  <si>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</si>
  <si>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</si>
  <si>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</si>
  <si>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</si>
  <si>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</si>
  <si>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</si>
  <si>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</si>
  <si>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</si>
  <si>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</si>
  <si>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</si>
  <si>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</si>
  <si>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</si>
  <si>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</si>
  <si>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</si>
  <si>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</si>
  <si>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</si>
  <si>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</si>
  <si>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</si>
  <si>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</si>
  <si>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</si>
  <si>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</si>
  <si>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</si>
  <si>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</si>
  <si>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</si>
  <si>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</si>
  <si>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</si>
  <si>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</si>
  <si>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</si>
  <si>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</si>
  <si>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</si>
  <si>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</si>
  <si>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</si>
  <si>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</si>
  <si>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</si>
  <si>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</si>
  <si>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</si>
  <si>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</si>
  <si>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</si>
  <si>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</si>
  <si>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</si>
  <si>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</si>
  <si>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</si>
  <si>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</si>
  <si>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</si>
  <si>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</si>
  <si>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</si>
  <si>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</si>
  <si>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</si>
  <si>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</si>
  <si>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</si>
  <si>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</si>
  <si>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</si>
  <si>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</si>
  <si>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</si>
  <si>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</si>
  <si>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</si>
  <si>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</si>
  <si>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</si>
  <si>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</si>
  <si>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</si>
  <si>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</si>
  <si>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</si>
  <si>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</si>
  <si>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</si>
  <si>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</si>
  <si>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</si>
  <si>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</si>
  <si>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</si>
  <si>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</si>
  <si>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</si>
  <si>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</si>
  <si>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</si>
  <si>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</si>
  <si>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</si>
  <si>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</si>
  <si>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</si>
  <si>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</si>
  <si>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</si>
  <si>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</si>
  <si>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</si>
  <si>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</si>
  <si>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</si>
  <si>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</si>
  <si>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</si>
  <si>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</si>
  <si>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</si>
  <si>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</si>
  <si>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</si>
  <si>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</si>
  <si>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</si>
  <si>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</si>
  <si>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</si>
  <si>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</si>
  <si>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</si>
  <si>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</si>
  <si>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</si>
  <si>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</si>
  <si>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</si>
  <si>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</si>
  <si>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</si>
  <si>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</si>
  <si>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</si>
  <si>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</si>
  <si>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</si>
  <si>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</si>
  <si>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</si>
  <si>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</si>
  <si>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</si>
  <si>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</si>
  <si>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</si>
  <si>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</si>
  <si>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</si>
  <si>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</si>
  <si>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</si>
  <si>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</si>
  <si>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</si>
  <si>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</si>
  <si>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</si>
  <si>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</si>
  <si>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</si>
  <si>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</si>
  <si>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</si>
  <si>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</si>
  <si>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</si>
  <si>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</si>
  <si>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</si>
  <si>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</si>
  <si>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</si>
  <si>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</si>
  <si>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</si>
  <si>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</si>
  <si>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</si>
  <si>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</si>
  <si>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</si>
  <si>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</si>
  <si>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</si>
  <si>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</si>
  <si>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</si>
  <si>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</si>
  <si>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</si>
  <si>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</si>
  <si>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</si>
  <si>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</si>
  <si>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</si>
  <si>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</si>
  <si>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</si>
  <si>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</si>
  <si>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</si>
  <si>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</si>
  <si>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</si>
  <si>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</si>
  <si>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</si>
  <si>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</si>
  <si>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</si>
  <si>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</si>
  <si>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</si>
  <si>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</si>
  <si>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</si>
  <si>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</si>
  <si>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</si>
  <si>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</si>
  <si>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</si>
  <si>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</si>
  <si>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</si>
  <si>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</si>
  <si>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</si>
  <si>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</si>
  <si>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</si>
  <si>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</si>
  <si>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</si>
  <si>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</si>
  <si>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</si>
  <si>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</si>
  <si>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</si>
  <si>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</si>
  <si>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</si>
  <si>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</si>
  <si>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</si>
  <si>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</si>
  <si>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</si>
  <si>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</si>
  <si>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</si>
  <si>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</si>
  <si>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</si>
  <si>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</si>
  <si>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</si>
  <si>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</si>
  <si>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</si>
  <si>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</si>
  <si>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</si>
  <si>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</si>
  <si>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</si>
  <si>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</si>
  <si>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</si>
  <si>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</si>
  <si>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</si>
  <si>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</si>
  <si>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</si>
  <si>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</si>
  <si>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</si>
  <si>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</si>
  <si>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</si>
  <si>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</si>
  <si>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</si>
  <si>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</si>
  <si>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</si>
  <si>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</si>
  <si>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</si>
  <si>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</si>
  <si>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</si>
  <si>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</si>
  <si>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</si>
  <si>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</si>
  <si>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</si>
  <si>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</si>
  <si>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</si>
  <si>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</si>
  <si>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</si>
  <si>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</si>
  <si>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</si>
  <si>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</si>
  <si>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</si>
  <si>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</si>
  <si>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</si>
  <si>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</si>
  <si>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</si>
  <si>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</si>
  <si>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</si>
  <si>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</si>
  <si>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</si>
  <si>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</si>
  <si>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</si>
  <si>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</si>
  <si>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</si>
  <si>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</si>
  <si>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</si>
  <si>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</si>
  <si>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</si>
  <si>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</si>
  <si>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</si>
  <si>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</si>
  <si>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</si>
  <si>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</si>
  <si>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</si>
  <si>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</si>
  <si>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</si>
  <si>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</si>
  <si>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</si>
  <si>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</si>
  <si>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</si>
  <si>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</si>
  <si>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</si>
  <si>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</si>
  <si>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</si>
  <si>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</si>
  <si>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</si>
  <si>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</si>
  <si>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</si>
  <si>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</si>
  <si>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</si>
  <si>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</si>
  <si>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</si>
  <si>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</si>
  <si>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</si>
  <si>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</si>
  <si>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</si>
  <si>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</si>
  <si>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</si>
  <si>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</si>
  <si>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</si>
  <si>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</si>
  <si>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</si>
  <si>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</si>
  <si>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</si>
  <si>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</si>
  <si>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</si>
  <si>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</si>
  <si>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</si>
  <si>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</si>
  <si>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</si>
  <si>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</si>
  <si>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</si>
  <si>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</si>
  <si>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</si>
  <si>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</si>
  <si>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</si>
  <si>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</si>
  <si>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</si>
  <si>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</si>
  <si>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</si>
  <si>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</si>
  <si>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</si>
  <si>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</si>
  <si>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</si>
  <si>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</si>
  <si>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</si>
  <si>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</si>
  <si>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</si>
  <si>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</si>
  <si>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</si>
  <si>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</si>
  <si>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</si>
  <si>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</si>
  <si>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</si>
  <si>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</si>
  <si>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</si>
  <si>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</si>
  <si>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</si>
  <si>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</si>
  <si>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</si>
  <si>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</si>
  <si>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</si>
  <si>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</si>
  <si>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</si>
  <si>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</si>
  <si>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</si>
  <si>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</si>
  <si>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</si>
  <si>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</si>
  <si>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</si>
  <si>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</si>
  <si>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</si>
  <si>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</si>
  <si>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</si>
  <si>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</si>
  <si>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</si>
  <si>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</si>
  <si>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</si>
  <si>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</si>
  <si>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</si>
  <si>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</si>
  <si>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</si>
  <si>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</si>
  <si>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</si>
  <si>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</si>
  <si>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</si>
  <si>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</si>
  <si>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</si>
  <si>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</si>
  <si>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</si>
  <si>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</si>
  <si>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</si>
  <si>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</si>
  <si>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</si>
  <si>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</si>
  <si>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</si>
  <si>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</si>
  <si>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</si>
  <si>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</si>
  <si>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</si>
  <si>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</si>
  <si>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</si>
  <si>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</si>
  <si>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</si>
  <si>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</si>
  <si>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</si>
  <si>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</si>
  <si>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</si>
  <si>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</si>
  <si>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</si>
  <si>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</si>
  <si>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</si>
  <si>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</si>
  <si>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</si>
  <si>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</si>
  <si>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</si>
  <si>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</si>
  <si>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</si>
  <si>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</si>
  <si>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</si>
  <si>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</si>
  <si>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</si>
  <si>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</si>
  <si>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</si>
  <si>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</si>
  <si>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</si>
  <si>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</si>
  <si>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</si>
  <si>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</si>
  <si>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</si>
  <si>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</si>
  <si>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</si>
  <si>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</si>
  <si>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</si>
  <si>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</si>
  <si>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</si>
  <si>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</si>
  <si>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</si>
  <si>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</si>
  <si>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</si>
  <si>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</si>
  <si>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</si>
  <si>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</si>
  <si>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</si>
  <si>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</si>
  <si>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</si>
  <si>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</si>
  <si>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</si>
  <si>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</si>
  <si>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</si>
  <si>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</si>
  <si>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</si>
  <si>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</si>
  <si>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</si>
  <si>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</si>
  <si>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</si>
  <si>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</si>
  <si>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</si>
  <si>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</si>
  <si>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</si>
  <si>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</si>
  <si>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</si>
  <si>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</si>
  <si>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</si>
  <si>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</si>
  <si>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</si>
  <si>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</si>
  <si>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</si>
  <si>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</si>
  <si>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</si>
  <si>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</si>
  <si>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</si>
  <si>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</si>
  <si>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</si>
  <si>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</si>
  <si>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</si>
  <si>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</si>
  <si>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</si>
  <si>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</si>
  <si>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</si>
  <si>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</si>
  <si>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</si>
  <si>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</si>
  <si>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</si>
  <si>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</si>
  <si>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</si>
  <si>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</si>
  <si>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</si>
  <si>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</si>
  <si>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</si>
  <si>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</si>
  <si>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</si>
  <si>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</si>
  <si>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</si>
  <si>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</si>
  <si>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</si>
  <si>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</si>
  <si>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</si>
  <si>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</si>
  <si>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</si>
  <si>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</si>
  <si>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</si>
  <si>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</si>
  <si>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</si>
  <si>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</si>
  <si>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</si>
  <si>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</si>
  <si>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</si>
  <si>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</si>
  <si>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</si>
  <si>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</si>
  <si>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</si>
  <si>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</si>
  <si>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</si>
  <si>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</si>
  <si>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</si>
  <si>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</si>
  <si>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</si>
  <si>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</si>
  <si>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</si>
  <si>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</si>
  <si>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</si>
  <si>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</si>
  <si>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</si>
  <si>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</si>
  <si>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</si>
  <si>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</si>
  <si>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</si>
  <si>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</si>
  <si>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</si>
  <si>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</si>
  <si>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</si>
  <si>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</si>
  <si>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</si>
  <si>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</si>
  <si>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</si>
  <si>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</si>
  <si>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</si>
  <si>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</si>
  <si>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</si>
  <si>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</si>
  <si>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</si>
  <si>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</si>
  <si>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</si>
  <si>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</si>
  <si>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</si>
  <si>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</si>
  <si>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</si>
  <si>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</si>
  <si>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</si>
  <si>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</si>
  <si>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</si>
  <si>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</si>
  <si>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</si>
  <si>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</si>
  <si>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</si>
  <si>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</si>
  <si>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</si>
  <si>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</si>
  <si>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</si>
  <si>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</si>
  <si>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</si>
  <si>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</si>
  <si>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</si>
  <si>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</si>
  <si>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</si>
  <si>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</si>
  <si>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</si>
  <si>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</si>
  <si>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</si>
  <si>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</si>
  <si>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</si>
  <si>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</si>
  <si>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</si>
  <si>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</si>
  <si>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</si>
  <si>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</si>
  <si>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</si>
  <si>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</si>
  <si>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</si>
  <si>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</si>
  <si>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</si>
  <si>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</si>
  <si>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</si>
  <si>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</si>
  <si>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</si>
  <si>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</si>
  <si>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</si>
  <si>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</si>
  <si>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</si>
  <si>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</si>
  <si>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</si>
  <si>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</si>
  <si>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</si>
  <si>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</si>
  <si>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</si>
  <si>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</si>
  <si>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</si>
  <si>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</si>
  <si>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</si>
  <si>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</si>
  <si>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</si>
  <si>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</si>
  <si>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</si>
  <si>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</si>
  <si>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</si>
  <si>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</si>
  <si>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</si>
  <si>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</si>
  <si>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</si>
  <si>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</si>
  <si>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</si>
  <si>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</si>
  <si>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</si>
  <si>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</si>
  <si>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</si>
  <si>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</si>
  <si>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</si>
  <si>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</si>
  <si>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</si>
  <si>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</si>
  <si>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</si>
  <si>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</si>
  <si>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</si>
  <si>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</si>
  <si>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</si>
  <si>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</si>
  <si>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</si>
  <si>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</si>
  <si>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</si>
  <si>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</si>
  <si>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</si>
  <si>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</si>
  <si>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</si>
  <si>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</si>
  <si>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</si>
  <si>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</si>
  <si>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</si>
  <si>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</si>
  <si>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</si>
  <si>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</si>
  <si>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</si>
  <si>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</si>
  <si>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</si>
  <si>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</si>
  <si>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</si>
  <si>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</si>
  <si>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</si>
  <si>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</si>
  <si>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</si>
  <si>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</si>
  <si>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</si>
  <si>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</si>
  <si>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</si>
  <si>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</si>
  <si>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</si>
  <si>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</si>
  <si>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</si>
  <si>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</si>
  <si>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</si>
  <si>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</si>
  <si>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</si>
  <si>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</si>
  <si>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</si>
  <si>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</si>
  <si>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</si>
  <si>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</si>
  <si>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</si>
  <si>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</si>
  <si>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</si>
  <si>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</si>
  <si>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</si>
  <si>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</si>
  <si>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</si>
  <si>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</si>
  <si>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</si>
  <si>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</si>
  <si>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</si>
  <si>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</si>
  <si>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</si>
  <si>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</si>
  <si>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</si>
  <si>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</si>
  <si>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</si>
  <si>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</si>
  <si>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</si>
  <si>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</si>
  <si>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</si>
  <si>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</si>
  <si>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</si>
  <si>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</si>
  <si>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</si>
  <si>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</si>
  <si>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</si>
  <si>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</si>
  <si>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</si>
  <si>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</si>
  <si>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</si>
  <si>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</si>
  <si>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</si>
  <si>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</si>
  <si>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</si>
  <si>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</si>
  <si>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</si>
  <si>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</si>
  <si>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</si>
  <si>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</si>
  <si>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</si>
  <si>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</si>
  <si>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</si>
  <si>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</si>
  <si>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</si>
  <si>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</si>
  <si>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</si>
  <si>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</si>
  <si>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</si>
  <si>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</si>
  <si>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</si>
  <si>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</si>
  <si>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</si>
  <si>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</si>
  <si>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</si>
  <si>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</si>
  <si>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</si>
  <si>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</si>
  <si>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</si>
  <si>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</si>
  <si>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</si>
  <si>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</si>
  <si>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</si>
  <si>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</si>
  <si>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</si>
  <si>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</si>
  <si>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</si>
  <si>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</si>
  <si>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</si>
  <si>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</si>
  <si>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</si>
  <si>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</si>
  <si>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</si>
  <si>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</si>
  <si>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</si>
  <si>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</si>
  <si>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</si>
  <si>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</si>
  <si>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</si>
  <si>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</si>
  <si>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</si>
  <si>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</si>
  <si>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</si>
  <si>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</si>
  <si>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</si>
  <si>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</si>
  <si>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</si>
  <si>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</si>
  <si>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</si>
  <si>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</si>
  <si>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</si>
  <si>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</si>
  <si>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</si>
  <si>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</si>
  <si>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</si>
  <si>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</si>
  <si>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</si>
  <si>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</si>
  <si>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</si>
  <si>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</si>
  <si>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</si>
  <si>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</si>
  <si>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</si>
  <si>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</si>
  <si>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</si>
  <si>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</si>
  <si>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</si>
  <si>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</si>
  <si>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</si>
  <si>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</si>
  <si>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</si>
  <si>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</si>
  <si>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</si>
  <si>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</si>
  <si>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</si>
  <si>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</si>
  <si>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</si>
  <si>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</si>
  <si>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</si>
  <si>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</si>
  <si>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</si>
  <si>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</si>
  <si>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</si>
  <si>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</si>
  <si>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</si>
  <si>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</si>
  <si>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</si>
  <si>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</si>
  <si>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</si>
  <si>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</si>
  <si>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</si>
  <si>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</si>
  <si>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</si>
  <si>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</si>
  <si>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</si>
  <si>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</si>
  <si>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</si>
  <si>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</si>
  <si>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</si>
  <si>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</si>
  <si>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</si>
  <si>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</si>
  <si>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</si>
  <si>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</si>
  <si>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</si>
  <si>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</si>
  <si>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</si>
  <si>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</si>
  <si>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</si>
  <si>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</si>
  <si>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</si>
  <si>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</si>
  <si>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</si>
  <si>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</si>
  <si>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</si>
  <si>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</si>
  <si>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</si>
  <si>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</si>
  <si>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</si>
  <si>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</si>
  <si>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</si>
  <si>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</si>
  <si>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</si>
  <si>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</si>
  <si>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</si>
  <si>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</si>
  <si>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</si>
  <si>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</si>
  <si>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</si>
  <si>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</si>
  <si>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</si>
  <si>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</si>
  <si>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</si>
  <si>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</si>
  <si>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</si>
  <si>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</si>
  <si>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</si>
  <si>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</si>
  <si>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</si>
  <si>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</si>
  <si>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</si>
  <si>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</si>
  <si>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</si>
  <si>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</si>
  <si>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</si>
  <si>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</si>
  <si>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</si>
  <si>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</si>
  <si>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</si>
  <si>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</si>
  <si>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</si>
  <si>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</si>
  <si>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</si>
  <si>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</si>
  <si>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</si>
  <si>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</si>
  <si>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</si>
  <si>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</si>
  <si>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</si>
  <si>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</si>
  <si>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</si>
  <si>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</si>
  <si>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</si>
  <si>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</si>
  <si>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</si>
  <si>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</si>
  <si>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</si>
  <si>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</si>
  <si>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</si>
  <si>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</si>
  <si>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</si>
  <si>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</si>
  <si>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</si>
  <si>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</si>
  <si>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</si>
  <si>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</si>
  <si>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</si>
  <si>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</si>
  <si>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</si>
  <si>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</si>
  <si>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</si>
  <si>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</si>
  <si>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</si>
  <si>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</si>
  <si>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</si>
  <si>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</si>
  <si>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</si>
  <si>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</si>
  <si>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</si>
  <si>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</si>
  <si>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</si>
  <si>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</si>
  <si>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</si>
  <si>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</si>
  <si>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</si>
  <si>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</si>
  <si>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</si>
  <si>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</si>
  <si>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</si>
  <si>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</si>
  <si>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</si>
  <si>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</si>
  <si>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</si>
  <si>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</si>
  <si>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</si>
  <si>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</si>
  <si>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</si>
  <si>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</si>
  <si>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</si>
  <si>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</si>
  <si>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</si>
  <si>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</si>
  <si>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</si>
  <si>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</si>
  <si>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</si>
  <si>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</si>
  <si>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</si>
  <si>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</si>
  <si>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</si>
  <si>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</si>
  <si>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</si>
  <si>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</si>
  <si>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</si>
  <si>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</si>
  <si>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</si>
  <si>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</si>
  <si>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</si>
  <si>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</si>
  <si>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</si>
  <si>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</si>
  <si>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</si>
  <si>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</si>
  <si>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</si>
  <si>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</si>
  <si>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</si>
  <si>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</si>
  <si>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</si>
  <si>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</si>
  <si>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</si>
  <si>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</si>
  <si>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</si>
  <si>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</si>
  <si>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</si>
  <si>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</si>
  <si>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</si>
  <si>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</si>
  <si>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</si>
  <si>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</si>
  <si>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</si>
  <si>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</si>
  <si>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</si>
  <si>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</si>
  <si>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</si>
  <si>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</si>
  <si>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</si>
  <si>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</si>
  <si>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</si>
  <si>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</si>
  <si>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</si>
  <si>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</si>
  <si>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</si>
  <si>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</si>
  <si>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</si>
  <si>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</si>
  <si>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</si>
  <si>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</si>
  <si>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</si>
  <si>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</si>
  <si>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</si>
  <si>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</si>
  <si>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</si>
  <si>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</si>
  <si>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</si>
  <si>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</si>
  <si>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</si>
  <si>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</si>
  <si>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</si>
  <si>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</si>
  <si>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</si>
  <si>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</si>
  <si>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</si>
  <si>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</si>
  <si>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</si>
  <si>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</si>
  <si>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</si>
  <si>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</si>
  <si>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</si>
  <si>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</si>
  <si>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</si>
  <si>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</si>
  <si>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</si>
  <si>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</si>
  <si>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</si>
  <si>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</si>
  <si>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</si>
  <si>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</si>
  <si>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</si>
  <si>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</si>
  <si>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</si>
  <si>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</si>
  <si>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</si>
  <si>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</si>
  <si>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</si>
  <si>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</si>
  <si>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</si>
  <si>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</si>
  <si>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</si>
  <si>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</si>
  <si>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</si>
  <si>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</si>
  <si>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</si>
  <si>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</si>
  <si>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</si>
  <si>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</si>
  <si>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</si>
  <si>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</si>
  <si>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</si>
  <si>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</si>
  <si>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</si>
  <si>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</si>
  <si>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</si>
  <si>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</si>
  <si>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</si>
  <si>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</si>
  <si>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</si>
  <si>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</si>
  <si>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</si>
  <si>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</si>
  <si>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</si>
  <si>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</si>
  <si>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</si>
  <si>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</si>
  <si>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</si>
  <si>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</si>
  <si>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</si>
  <si>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</si>
  <si>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</si>
  <si>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</si>
  <si>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</si>
  <si>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</si>
  <si>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</si>
  <si>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</si>
  <si>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</si>
  <si>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</si>
  <si>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</si>
  <si>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</si>
  <si>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</si>
  <si>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</si>
  <si>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</si>
  <si>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</si>
  <si>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</si>
  <si>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</si>
  <si>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</si>
  <si>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</si>
  <si>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</si>
  <si>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</si>
  <si>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</si>
  <si>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</si>
  <si>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</si>
  <si>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</si>
  <si>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</si>
  <si>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</si>
  <si>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</si>
  <si>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</si>
  <si>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</si>
  <si>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</si>
  <si>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</si>
  <si>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</si>
  <si>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</si>
  <si>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</si>
  <si>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</si>
  <si>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</si>
  <si>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</si>
  <si>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</si>
  <si>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</si>
  <si>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</si>
  <si>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</si>
  <si>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</si>
  <si>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</si>
  <si>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</si>
  <si>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</si>
  <si>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</si>
  <si>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</si>
  <si>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</si>
  <si>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</si>
  <si>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</si>
  <si>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</si>
  <si>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</si>
  <si>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</si>
  <si>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</si>
  <si>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</si>
  <si>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</si>
  <si>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</si>
  <si>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</si>
  <si>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</si>
  <si>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</si>
  <si>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</si>
  <si>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</si>
  <si>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</si>
  <si>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</si>
  <si>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</si>
  <si>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</si>
  <si>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</si>
  <si>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</si>
  <si>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</si>
  <si>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</si>
  <si>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</si>
  <si>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</si>
  <si>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</si>
  <si>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</si>
  <si>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</si>
  <si>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</si>
  <si>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</si>
  <si>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</si>
  <si>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</si>
  <si>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</si>
  <si>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</si>
  <si>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</si>
  <si>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</si>
  <si>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</si>
  <si>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</si>
  <si>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</si>
  <si>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</si>
  <si>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</si>
  <si>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</si>
  <si>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</si>
  <si>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</si>
  <si>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</si>
  <si>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</si>
  <si>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</si>
  <si>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</si>
  <si>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</si>
  <si>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</si>
  <si>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</si>
  <si>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</si>
  <si>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</si>
  <si>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</si>
  <si>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</si>
  <si>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</si>
  <si>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</si>
  <si>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</si>
  <si>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</si>
  <si>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</si>
  <si>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</si>
  <si>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</si>
  <si>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</si>
  <si>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</si>
  <si>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</si>
  <si>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</si>
  <si>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</si>
  <si>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</si>
  <si>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</si>
  <si>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</si>
  <si>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</si>
  <si>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</si>
  <si>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</si>
  <si>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</si>
  <si>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</si>
  <si>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</si>
  <si>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</si>
  <si>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</si>
  <si>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</si>
  <si>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</si>
  <si>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</si>
  <si>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</si>
  <si>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</si>
  <si>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</si>
  <si>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</si>
  <si>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</si>
  <si>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</si>
  <si>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</si>
  <si>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</si>
  <si>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</si>
  <si>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</si>
  <si>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</si>
  <si>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</si>
  <si>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</si>
  <si>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</si>
  <si>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</si>
  <si>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</si>
  <si>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</si>
  <si>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</si>
  <si>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</si>
  <si>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</si>
  <si>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</si>
  <si>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</si>
  <si>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</si>
  <si>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</si>
  <si>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</si>
  <si>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</si>
  <si>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</si>
  <si>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</si>
  <si>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</si>
  <si>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</si>
  <si>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</si>
  <si>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</si>
  <si>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</si>
  <si>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</si>
  <si>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</si>
  <si>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</si>
  <si>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</si>
  <si>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</si>
  <si>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</si>
  <si>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</si>
  <si>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</si>
  <si>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</si>
  <si>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</si>
  <si>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</si>
  <si>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</si>
  <si>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</si>
  <si>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</si>
  <si>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</si>
  <si>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</si>
  <si>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</si>
  <si>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</si>
  <si>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</si>
  <si>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</si>
  <si>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</si>
  <si>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</si>
  <si>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</si>
  <si>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</si>
  <si>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</si>
  <si>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</si>
  <si>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</si>
  <si>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</si>
  <si>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</si>
  <si>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</si>
  <si>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</si>
  <si>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</si>
  <si>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</si>
  <si>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</si>
  <si>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</si>
  <si>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</si>
  <si>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</si>
  <si>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</si>
  <si>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</si>
  <si>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</si>
  <si>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</si>
  <si>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</si>
  <si>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</si>
  <si>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</si>
  <si>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</si>
  <si>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</si>
  <si>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</si>
  <si>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</si>
  <si>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</si>
  <si>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</si>
  <si>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</si>
  <si>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</si>
  <si>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</si>
  <si>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</si>
  <si>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</si>
  <si>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</si>
  <si>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</si>
  <si>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</si>
  <si>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</si>
  <si>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</si>
  <si>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</si>
  <si>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</si>
  <si>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</si>
  <si>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</si>
  <si>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</si>
  <si>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</si>
  <si>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</si>
  <si>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</si>
  <si>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</si>
  <si>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</si>
  <si>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</si>
  <si>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</si>
  <si>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</si>
  <si>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</si>
  <si>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</si>
  <si>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</si>
  <si>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</si>
  <si>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</si>
  <si>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</si>
  <si>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</si>
  <si>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</si>
  <si>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</si>
  <si>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</si>
  <si>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</si>
  <si>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</si>
  <si>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</si>
  <si>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</si>
  <si>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</si>
  <si>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</si>
  <si>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</si>
  <si>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</si>
  <si>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</si>
  <si>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</si>
  <si>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</si>
  <si>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</si>
  <si>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</si>
  <si>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</si>
  <si>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</si>
  <si>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</si>
  <si>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</si>
  <si>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</si>
  <si>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</si>
  <si>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</si>
  <si>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</si>
  <si>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</si>
  <si>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</si>
  <si>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</si>
  <si>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</si>
  <si>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</si>
  <si>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</si>
  <si>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</si>
  <si>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</si>
  <si>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</si>
  <si>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</si>
  <si>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</si>
  <si>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</si>
  <si>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</si>
  <si>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</si>
  <si>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</si>
  <si>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</si>
  <si>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</si>
  <si>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</si>
  <si>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</si>
  <si>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</si>
  <si>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</si>
  <si>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</si>
  <si>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</si>
  <si>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</si>
  <si>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</si>
  <si>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</si>
  <si>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</si>
  <si>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</si>
  <si>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</si>
  <si>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</si>
  <si>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</si>
  <si>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</si>
  <si>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</si>
  <si>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</si>
  <si>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</si>
  <si>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</si>
  <si>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</si>
  <si>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</si>
  <si>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</si>
  <si>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</si>
  <si>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</si>
  <si>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</si>
  <si>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</si>
  <si>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</si>
  <si>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</si>
  <si>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</si>
  <si>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</si>
  <si>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</si>
  <si>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</si>
  <si>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</si>
  <si>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</si>
  <si>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</si>
  <si>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</si>
  <si>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</si>
  <si>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</si>
  <si>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</si>
  <si>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</si>
  <si>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</si>
  <si>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</si>
  <si>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</si>
  <si>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</si>
  <si>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</si>
  <si>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</si>
  <si>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</si>
  <si>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</si>
  <si>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</si>
  <si>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</si>
  <si>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</si>
  <si>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</si>
  <si>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</si>
  <si>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</si>
  <si>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</si>
  <si>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</si>
  <si>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</si>
  <si>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</si>
  <si>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</si>
  <si>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</si>
  <si>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</si>
  <si>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</si>
  <si>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</si>
  <si>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</si>
  <si>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</si>
  <si>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</si>
  <si>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</si>
  <si>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</si>
  <si>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</si>
  <si>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</si>
  <si>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</si>
  <si>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</si>
  <si>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</si>
  <si>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</si>
  <si>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</si>
  <si>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</si>
  <si>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</si>
  <si>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</si>
  <si>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</si>
  <si>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</si>
  <si>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</si>
  <si>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</si>
  <si>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</si>
  <si>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</si>
  <si>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</si>
  <si>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</si>
  <si>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</si>
  <si>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</si>
  <si>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</si>
  <si>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</si>
  <si>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</si>
  <si>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</si>
  <si>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</si>
  <si>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</si>
  <si>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</si>
  <si>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</si>
  <si>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</si>
  <si>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</si>
  <si>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</si>
  <si>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</si>
  <si>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</si>
  <si>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</si>
  <si>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</si>
  <si>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</si>
  <si>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</si>
  <si>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</si>
  <si>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</si>
  <si>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</si>
  <si>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</si>
  <si>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</si>
  <si>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</si>
  <si>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</si>
  <si>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</si>
  <si>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</si>
  <si>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</si>
  <si>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</si>
  <si>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</si>
  <si>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</si>
  <si>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</si>
  <si>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</si>
  <si>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</si>
  <si>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</si>
  <si>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</si>
  <si>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</si>
  <si>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</si>
  <si>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</si>
  <si>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</si>
  <si>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</si>
  <si>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</si>
  <si>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</si>
  <si>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</si>
  <si>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</si>
  <si>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</si>
  <si>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</si>
  <si>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</si>
  <si>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</si>
  <si>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</si>
  <si>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</si>
  <si>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</si>
  <si>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</si>
  <si>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</si>
  <si>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</si>
  <si>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</si>
  <si>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</si>
  <si>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</si>
  <si>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</si>
  <si>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</si>
  <si>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</si>
  <si>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</si>
  <si>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</si>
  <si>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</si>
  <si>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</si>
  <si>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</si>
  <si>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</si>
  <si>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</si>
  <si>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</si>
  <si>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</si>
  <si>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</si>
  <si>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</si>
  <si>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</si>
  <si>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</si>
  <si>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</si>
  <si>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</si>
  <si>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</si>
  <si>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</si>
  <si>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</si>
  <si>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</si>
  <si>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</si>
  <si>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</si>
  <si>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</si>
  <si>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</si>
  <si>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</si>
  <si>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</si>
  <si>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</si>
  <si>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</si>
  <si>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</si>
  <si>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</si>
  <si>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</si>
  <si>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</si>
  <si>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</si>
  <si>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</si>
  <si>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</si>
  <si>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</si>
  <si>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</si>
  <si>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</si>
  <si>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</si>
  <si>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</si>
  <si>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</si>
  <si>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</si>
  <si>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</si>
  <si>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</si>
  <si>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</si>
  <si>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</si>
  <si>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</si>
  <si>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</si>
  <si>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</si>
  <si>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</si>
  <si>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</si>
  <si>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</si>
  <si>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</si>
  <si>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</si>
  <si>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</si>
  <si>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</si>
  <si>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</si>
  <si>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</si>
  <si>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</si>
  <si>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</si>
  <si>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</si>
  <si>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</si>
  <si>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</si>
  <si>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</si>
  <si>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</si>
  <si>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</si>
  <si>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</si>
  <si>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</si>
  <si>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</si>
  <si>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</si>
  <si>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</si>
  <si>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</si>
  <si>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</si>
  <si>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</si>
  <si>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</si>
  <si>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</si>
  <si>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</si>
  <si>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</si>
  <si>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</si>
  <si>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</si>
  <si>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</si>
  <si>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</si>
  <si>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</si>
  <si>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</si>
  <si>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</si>
  <si>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</si>
  <si>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</si>
  <si>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</si>
  <si>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</si>
  <si>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</si>
  <si>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</si>
  <si>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</si>
  <si>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</si>
  <si>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</si>
  <si>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</si>
  <si>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</si>
  <si>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</si>
  <si>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</si>
  <si>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</si>
  <si>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</si>
  <si>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</si>
  <si>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</si>
  <si>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</si>
  <si>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</si>
  <si>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</si>
  <si>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</si>
  <si>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</si>
  <si>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</si>
  <si>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</si>
  <si>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</si>
  <si>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</si>
  <si>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</si>
  <si>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</si>
  <si>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</si>
  <si>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</si>
  <si>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</si>
  <si>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</si>
  <si>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</si>
  <si>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</si>
  <si>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</si>
  <si>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</si>
  <si>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</si>
  <si>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</si>
  <si>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</si>
  <si>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</si>
  <si>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</si>
  <si>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</si>
  <si>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</si>
  <si>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</si>
  <si>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</si>
  <si>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</si>
  <si>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</si>
  <si>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</si>
  <si>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</si>
  <si>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</si>
  <si>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</si>
  <si>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</si>
  <si>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</si>
  <si>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</si>
  <si>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</si>
  <si>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</si>
  <si>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</si>
  <si>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</si>
  <si>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</si>
  <si>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</si>
  <si>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</si>
  <si>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</si>
  <si>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</si>
  <si>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</si>
  <si>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</si>
  <si>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</si>
  <si>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</si>
  <si>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</si>
  <si>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</si>
  <si>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</si>
  <si>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</si>
  <si>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</si>
  <si>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</si>
  <si>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</si>
  <si>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</si>
  <si>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</si>
  <si>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</si>
  <si>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</si>
  <si>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</si>
  <si>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</si>
  <si>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</si>
  <si>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</si>
  <si>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</si>
  <si>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</si>
  <si>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</si>
  <si>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</si>
  <si>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</si>
  <si>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</si>
  <si>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</si>
  <si>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</si>
  <si>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</si>
  <si>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</si>
  <si>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</si>
  <si>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</si>
  <si>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</si>
  <si>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</si>
  <si>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</si>
  <si>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</si>
  <si>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</si>
  <si>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</si>
  <si>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</si>
  <si>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</si>
  <si>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</si>
  <si>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</si>
  <si>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</si>
  <si>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</si>
  <si>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</si>
  <si>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</si>
  <si>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</si>
  <si>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</si>
  <si>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</si>
  <si>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</si>
  <si>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</si>
  <si>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</si>
  <si>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</si>
  <si>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</si>
  <si>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</si>
  <si>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</si>
  <si>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</si>
  <si>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</si>
  <si>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</si>
  <si>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</si>
  <si>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</si>
  <si>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</si>
  <si>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</si>
  <si>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</si>
  <si>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</si>
  <si>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</si>
  <si>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</si>
  <si>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</si>
  <si>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</si>
  <si>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</si>
  <si>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</si>
  <si>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</si>
  <si>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</si>
  <si>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</si>
  <si>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</si>
  <si>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</si>
  <si>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</si>
  <si>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</si>
  <si>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</si>
  <si>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</si>
  <si>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</si>
  <si>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</si>
  <si>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</si>
  <si>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</si>
  <si>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</si>
  <si>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</si>
  <si>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</si>
  <si>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</si>
  <si>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</si>
  <si>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</si>
  <si>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</si>
  <si>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</si>
  <si>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</si>
  <si>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</si>
  <si>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</si>
  <si>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</si>
  <si>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</si>
  <si>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</si>
  <si>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</si>
  <si>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</si>
  <si>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</si>
  <si>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</si>
  <si>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</si>
  <si>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</si>
  <si>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</si>
  <si>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</si>
  <si>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</si>
  <si>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</si>
  <si>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</si>
  <si>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</si>
  <si>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</si>
  <si>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</si>
  <si>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</si>
  <si>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</si>
  <si>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</si>
  <si>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</si>
  <si>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</si>
  <si>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</si>
  <si>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</si>
  <si>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</si>
  <si>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</si>
  <si>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</si>
  <si>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</si>
  <si>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</si>
  <si>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</si>
  <si>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</si>
  <si>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</si>
  <si>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</si>
  <si>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</si>
  <si>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</si>
  <si>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</si>
  <si>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</si>
  <si>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</si>
  <si>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</si>
  <si>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</si>
  <si>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</si>
  <si>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</si>
  <si>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</si>
  <si>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</si>
  <si>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</si>
  <si>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</si>
  <si>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</si>
  <si>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</si>
  <si>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</si>
  <si>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</si>
  <si>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</si>
  <si>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</si>
  <si>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</si>
  <si>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</si>
  <si>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</si>
  <si>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</si>
  <si>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</si>
  <si>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</si>
  <si>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</si>
  <si>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</si>
  <si>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</si>
  <si>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</si>
  <si>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</si>
  <si>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</si>
  <si>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</si>
  <si>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</si>
  <si>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</si>
  <si>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</si>
  <si>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</si>
  <si>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</si>
  <si>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</si>
  <si>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</si>
  <si>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</si>
  <si>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</si>
  <si>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</si>
  <si>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</si>
  <si>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</si>
  <si>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</si>
  <si>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</si>
  <si>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</si>
  <si>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</si>
  <si>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</si>
  <si>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</si>
  <si>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</si>
  <si>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</si>
  <si>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</si>
  <si>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</si>
  <si>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</si>
  <si>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</si>
  <si>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</si>
  <si>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</si>
  <si>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</si>
  <si>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</si>
  <si>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</si>
  <si>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</si>
  <si>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</si>
  <si>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</si>
  <si>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</si>
  <si>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</si>
  <si>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</si>
  <si>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</si>
  <si>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</si>
  <si>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</si>
  <si>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</si>
  <si>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</si>
  <si>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</si>
  <si>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</si>
  <si>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</si>
  <si>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</si>
  <si>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</si>
  <si>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</si>
  <si>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</si>
  <si>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</si>
  <si>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</si>
  <si>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</si>
  <si>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</si>
  <si>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</si>
  <si>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</si>
  <si>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</si>
  <si>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</si>
  <si>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</si>
  <si>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</si>
  <si>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</si>
  <si>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</si>
  <si>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</si>
  <si>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</si>
  <si>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</si>
  <si>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</si>
  <si>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</si>
  <si>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</si>
  <si>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</si>
  <si>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</si>
  <si>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</si>
  <si>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</si>
  <si>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</si>
  <si>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</si>
  <si>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</si>
  <si>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</si>
  <si>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</si>
  <si>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</si>
  <si>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</si>
  <si>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</si>
  <si>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</si>
  <si>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</si>
  <si>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</si>
  <si>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</si>
  <si>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</si>
  <si>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</si>
  <si>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</si>
  <si>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</si>
  <si>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</si>
  <si>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</si>
  <si>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</si>
  <si>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</si>
  <si>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</si>
  <si>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</si>
  <si>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</si>
  <si>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</si>
  <si>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</si>
  <si>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</si>
  <si>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</si>
  <si>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</si>
  <si>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</si>
  <si>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</si>
  <si>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</si>
  <si>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</si>
  <si>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</si>
  <si>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</si>
  <si>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</si>
  <si>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</si>
  <si>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</si>
  <si>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</si>
  <si>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</si>
  <si>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</si>
  <si>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</si>
  <si>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</si>
  <si>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</si>
  <si>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</si>
  <si>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</si>
  <si>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</si>
  <si>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</si>
  <si>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</si>
  <si>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</si>
  <si>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</si>
  <si>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</si>
  <si>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</si>
  <si>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</si>
  <si>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</si>
  <si>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</si>
  <si>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</si>
  <si>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</si>
  <si>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</si>
  <si>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</si>
  <si>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</si>
  <si>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</si>
  <si>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</si>
  <si>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</si>
  <si>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</si>
  <si>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</si>
  <si>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</si>
  <si>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</si>
  <si>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</si>
  <si>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</si>
  <si>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</si>
  <si>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</si>
  <si>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</si>
  <si>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</si>
  <si>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</si>
  <si>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</si>
  <si>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</si>
  <si>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</si>
  <si>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</si>
  <si>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</si>
  <si>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</si>
  <si>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</si>
  <si>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</si>
  <si>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</si>
  <si>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</si>
  <si>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</si>
  <si>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</si>
  <si>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</si>
  <si>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</si>
  <si>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</si>
  <si>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</si>
  <si>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</si>
  <si>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</si>
  <si>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</si>
  <si>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</si>
  <si>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</si>
  <si>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</si>
  <si>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</si>
  <si>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</si>
  <si>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</si>
  <si>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</si>
  <si>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</si>
  <si>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</si>
  <si>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</si>
  <si>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</si>
  <si>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</si>
  <si>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</si>
  <si>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</si>
  <si>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</si>
  <si>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</si>
  <si>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</si>
  <si>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</si>
  <si>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</si>
  <si>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</si>
  <si>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</si>
  <si>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</si>
  <si>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</si>
  <si>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</si>
  <si>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</si>
  <si>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</si>
  <si>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</si>
  <si>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</si>
  <si>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</si>
  <si>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</si>
  <si>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</si>
  <si>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</si>
  <si>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</si>
  <si>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</si>
  <si>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</si>
  <si>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</si>
  <si>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</si>
  <si>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</si>
  <si>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</si>
  <si>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</si>
  <si>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</si>
  <si>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</si>
  <si>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</si>
  <si>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</si>
  <si>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</si>
  <si>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</si>
  <si>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</si>
  <si>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</si>
  <si>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</si>
  <si>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</si>
  <si>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</si>
  <si>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</si>
  <si>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</si>
  <si>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</si>
  <si>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</si>
  <si>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</si>
  <si>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</si>
  <si>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</si>
  <si>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</si>
  <si>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</si>
  <si>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</si>
  <si>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</si>
  <si>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</si>
  <si>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</si>
  <si>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</si>
  <si>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</si>
  <si>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</si>
  <si>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</si>
  <si>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</si>
  <si>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</si>
  <si>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</si>
  <si>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</si>
  <si>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</si>
  <si>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</si>
  <si>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</si>
  <si>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</si>
  <si>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</si>
  <si>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</si>
  <si>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</si>
  <si>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</si>
  <si>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</si>
  <si>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</si>
  <si>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</si>
  <si>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</si>
  <si>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</si>
  <si>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</si>
  <si>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</si>
  <si>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</si>
  <si>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</si>
  <si>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</si>
  <si>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</si>
  <si>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</si>
  <si>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</si>
  <si>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</si>
  <si>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</si>
  <si>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</si>
  <si>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</si>
  <si>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</si>
  <si>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</si>
  <si>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</si>
  <si>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</si>
  <si>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</si>
  <si>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</si>
  <si>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</si>
  <si>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</si>
  <si>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</si>
  <si>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</si>
  <si>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</si>
  <si>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</si>
  <si>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</si>
  <si>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</si>
  <si>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</si>
  <si>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</si>
  <si>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</si>
  <si>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</si>
  <si>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</si>
  <si>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</si>
  <si>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</si>
  <si>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</si>
  <si>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</si>
  <si>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</si>
  <si>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</si>
  <si>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</si>
  <si>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</si>
  <si>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</si>
  <si>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</si>
  <si>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</si>
  <si>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</si>
  <si>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</si>
  <si>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</si>
  <si>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</si>
  <si>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</si>
  <si>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</si>
  <si>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</si>
  <si>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</si>
  <si>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</si>
  <si>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</si>
  <si>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</si>
  <si>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</si>
  <si>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</si>
  <si>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</si>
  <si>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</si>
  <si>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</si>
  <si>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</si>
  <si>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</si>
  <si>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</si>
  <si>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</si>
  <si>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</si>
  <si>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</si>
  <si>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</si>
  <si>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</si>
  <si>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</si>
  <si>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</si>
  <si>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</si>
  <si>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</si>
  <si>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</si>
  <si>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</si>
  <si>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</si>
  <si>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</si>
  <si>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</si>
  <si>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</si>
  <si>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</si>
  <si>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</si>
  <si>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</si>
  <si>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</si>
  <si>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</si>
  <si>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</si>
  <si>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</si>
  <si>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</si>
  <si>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</si>
  <si>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</si>
  <si>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</si>
  <si>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</si>
  <si>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</si>
  <si>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</si>
  <si>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</si>
  <si>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</si>
  <si>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</si>
  <si>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</si>
  <si>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</si>
  <si>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</si>
  <si>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</si>
  <si>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</si>
  <si>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</si>
  <si>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</si>
  <si>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</si>
  <si>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</si>
  <si>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</si>
  <si>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</si>
  <si>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</si>
  <si>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</si>
  <si>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</si>
  <si>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</si>
  <si>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</si>
  <si>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</si>
  <si>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</si>
  <si>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</si>
  <si>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</si>
  <si>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</si>
  <si>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</si>
  <si>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</si>
  <si>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</si>
  <si>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</si>
  <si>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</si>
  <si>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</si>
  <si>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</si>
  <si>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</si>
  <si>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</si>
  <si>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</si>
  <si>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</si>
  <si>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</si>
  <si>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</si>
  <si>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</si>
  <si>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</si>
  <si>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</si>
  <si>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</si>
  <si>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</si>
  <si>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</si>
  <si>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</si>
  <si>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</si>
  <si>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</si>
  <si>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</si>
  <si>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</si>
  <si>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</si>
  <si>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</si>
  <si>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</si>
  <si>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</si>
  <si>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</si>
  <si>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</si>
  <si>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</si>
  <si>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</si>
  <si>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</si>
  <si>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</si>
  <si>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</si>
  <si>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</si>
  <si>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</si>
  <si>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</si>
  <si>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</si>
  <si>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</si>
  <si>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</si>
  <si>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</si>
  <si>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</si>
  <si>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</si>
  <si>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</si>
  <si>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</si>
  <si>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</si>
  <si>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</si>
  <si>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</si>
  <si>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</si>
  <si>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</si>
  <si>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</si>
  <si>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</si>
  <si>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</si>
  <si>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</si>
  <si>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</si>
  <si>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</si>
  <si>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</si>
  <si>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</si>
  <si>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</si>
  <si>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</si>
  <si>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</si>
  <si>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</si>
  <si>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</si>
  <si>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</si>
  <si>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</si>
  <si>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</si>
  <si>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</si>
  <si>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</si>
  <si>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</si>
  <si>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</si>
  <si>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</si>
  <si>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</si>
  <si>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</si>
  <si>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</si>
  <si>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</si>
  <si>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</si>
  <si>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</si>
  <si>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</si>
  <si>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</si>
  <si>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</si>
  <si>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</si>
  <si>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</si>
  <si>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</si>
  <si>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</si>
  <si>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</si>
  <si>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</si>
  <si>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</si>
  <si>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</si>
  <si>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</si>
  <si>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</si>
  <si>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</si>
  <si>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</si>
  <si>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</si>
  <si>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</si>
  <si>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</si>
  <si>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</si>
  <si>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</si>
  <si>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</si>
  <si>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</si>
  <si>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</si>
  <si>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</si>
  <si>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</si>
  <si>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</si>
  <si>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</si>
  <si>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</si>
  <si>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</si>
  <si>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</si>
  <si>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</si>
  <si>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</si>
  <si>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</si>
  <si>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</si>
  <si>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</si>
  <si>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</si>
  <si>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</si>
  <si>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</si>
  <si>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</si>
  <si>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</si>
  <si>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</si>
  <si>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</si>
  <si>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</si>
  <si>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</si>
  <si>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</si>
  <si>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</si>
  <si>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</si>
  <si>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</si>
  <si>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</si>
  <si>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</si>
  <si>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</si>
  <si>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</si>
  <si>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</si>
  <si>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</si>
  <si>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</si>
  <si>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</si>
  <si>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</si>
  <si>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</si>
  <si>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</si>
  <si>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</si>
  <si>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</si>
  <si>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</si>
  <si>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</si>
  <si>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</si>
  <si>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</si>
  <si>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</si>
  <si>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</si>
  <si>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</si>
  <si>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</si>
  <si>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</si>
  <si>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</si>
  <si>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</si>
  <si>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</si>
  <si>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</si>
  <si>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</si>
  <si>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</si>
  <si>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</si>
  <si>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</si>
  <si>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</si>
  <si>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</si>
  <si>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</si>
  <si>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</si>
  <si>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</si>
  <si>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</si>
  <si>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</si>
  <si>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</si>
  <si>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</si>
  <si>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</si>
  <si>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</si>
  <si>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</si>
  <si>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</si>
  <si>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</si>
  <si>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</si>
  <si>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</si>
  <si>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</si>
  <si>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</si>
  <si>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</si>
  <si>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</si>
  <si>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</si>
  <si>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</si>
  <si>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</si>
  <si>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</si>
  <si>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</si>
  <si>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</si>
  <si>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</si>
  <si>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</si>
  <si>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</si>
  <si>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</si>
  <si>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</si>
  <si>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</si>
  <si>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</si>
  <si>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</si>
  <si>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</si>
  <si>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</si>
  <si>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</si>
  <si>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</si>
  <si>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</si>
  <si>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</si>
  <si>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</si>
  <si>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</si>
  <si>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</si>
  <si>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</si>
  <si>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</si>
  <si>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</si>
  <si>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</si>
  <si>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</si>
  <si>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</si>
  <si>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</si>
  <si>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</si>
  <si>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</si>
  <si>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</si>
  <si>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</si>
  <si>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</si>
  <si>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</si>
  <si>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</si>
  <si>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</si>
  <si>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</si>
  <si>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</si>
  <si>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</si>
  <si>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</si>
  <si>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</si>
  <si>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</si>
  <si>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</si>
  <si>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</si>
  <si>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</si>
  <si>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</si>
  <si>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</si>
  <si>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</si>
  <si>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</si>
  <si>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</si>
  <si>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</si>
  <si>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</si>
  <si>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</si>
  <si>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</si>
  <si>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</si>
  <si>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</si>
  <si>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</si>
  <si>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</si>
  <si>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</si>
  <si>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</si>
  <si>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</si>
  <si>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</si>
  <si>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</si>
  <si>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</si>
  <si>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</si>
  <si>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</si>
  <si>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</si>
  <si>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</si>
  <si>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</si>
  <si>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</si>
  <si>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</si>
  <si>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</si>
  <si>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</si>
  <si>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</si>
  <si>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</si>
  <si>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</si>
  <si>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</si>
  <si>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</si>
  <si>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</si>
  <si>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</si>
  <si>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</si>
  <si>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</si>
  <si>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</si>
  <si>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</si>
  <si>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</si>
  <si>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</si>
  <si>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</si>
  <si>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</si>
  <si>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</si>
  <si>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</si>
  <si>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</si>
  <si>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</si>
  <si>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</si>
  <si>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</si>
  <si>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</si>
  <si>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</si>
  <si>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</si>
  <si>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</si>
  <si>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</si>
  <si>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</si>
  <si>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</si>
  <si>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</si>
  <si>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</si>
  <si>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</si>
  <si>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</si>
  <si>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</si>
  <si>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</si>
  <si>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</si>
  <si>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</si>
  <si>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</si>
  <si>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</si>
  <si>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</si>
  <si>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</si>
  <si>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</si>
  <si>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</si>
  <si>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</si>
  <si>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</si>
  <si>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</si>
  <si>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</si>
  <si>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</si>
  <si>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</si>
  <si>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</si>
  <si>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</si>
  <si>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</si>
  <si>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</si>
  <si>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</si>
  <si>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</si>
  <si>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</si>
  <si>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</si>
  <si>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</si>
  <si>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</si>
  <si>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</si>
  <si>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</si>
  <si>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</si>
  <si>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</si>
  <si>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</si>
  <si>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</si>
  <si>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</si>
  <si>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</si>
  <si>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</si>
  <si>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</si>
  <si>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</si>
  <si>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</si>
  <si>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</si>
  <si>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</si>
  <si>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</si>
  <si>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</si>
  <si>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</si>
  <si>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</si>
  <si>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</si>
  <si>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</si>
  <si>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</si>
  <si>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</si>
  <si>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</si>
  <si>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</si>
  <si>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</si>
  <si>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</si>
  <si>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</si>
  <si>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</si>
  <si>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</si>
  <si>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</si>
  <si>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</si>
  <si>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</si>
  <si>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</si>
  <si>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</si>
  <si>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</si>
  <si>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</si>
  <si>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</si>
  <si>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</si>
  <si>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</si>
  <si>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</si>
  <si>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</si>
  <si>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</si>
  <si>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</si>
  <si>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</si>
  <si>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</si>
  <si>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</si>
  <si>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</si>
  <si>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</si>
  <si>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</si>
  <si>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</si>
  <si>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</si>
  <si>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</si>
  <si>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</si>
  <si>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</si>
  <si>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</si>
  <si>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</si>
  <si>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</si>
  <si>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</si>
  <si>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</si>
  <si>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</si>
  <si>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</si>
  <si>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</si>
  <si>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</si>
  <si>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</si>
  <si>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</si>
  <si>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</si>
  <si>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</si>
  <si>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</si>
  <si>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</si>
  <si>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</si>
  <si>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</si>
  <si>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</si>
  <si>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</si>
  <si>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</si>
  <si>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</si>
  <si>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</si>
  <si>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</si>
  <si>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</si>
  <si>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</si>
  <si>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</si>
  <si>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</si>
  <si>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</si>
  <si>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</si>
  <si>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</si>
  <si>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</si>
  <si>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</si>
  <si>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</si>
  <si>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</si>
  <si>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</si>
  <si>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</si>
  <si>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</si>
  <si>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</si>
  <si>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</si>
  <si>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</si>
  <si>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</si>
  <si>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</si>
  <si>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</si>
  <si>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</si>
  <si>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</si>
  <si>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</si>
  <si>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</si>
  <si>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</si>
  <si>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</si>
  <si>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</si>
  <si>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</si>
  <si>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</si>
  <si>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</si>
  <si>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</si>
  <si>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</si>
  <si>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</si>
  <si>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</si>
  <si>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</si>
  <si>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</si>
  <si>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</si>
  <si>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</si>
  <si>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</si>
  <si>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</si>
  <si>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</si>
  <si>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</si>
  <si>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</si>
  <si>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</si>
  <si>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</si>
  <si>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</si>
  <si>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</si>
  <si>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</si>
  <si>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</si>
  <si>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</si>
  <si>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</si>
  <si>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</si>
  <si>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</si>
  <si>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</si>
  <si>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</si>
  <si>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</si>
  <si>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</si>
  <si>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</si>
  <si>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</si>
  <si>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</si>
  <si>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</si>
  <si>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</si>
  <si>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</si>
  <si>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</si>
  <si>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</si>
  <si>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</si>
  <si>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</si>
  <si>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</si>
  <si>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</si>
  <si>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</si>
  <si>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</si>
  <si>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</si>
  <si>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</si>
  <si>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</si>
  <si>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</si>
  <si>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</si>
  <si>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</si>
  <si>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</si>
  <si>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</si>
  <si>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</si>
  <si>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</si>
  <si>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</si>
  <si>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</si>
  <si>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</si>
  <si>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</si>
  <si>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</si>
  <si>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</si>
  <si>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</si>
  <si>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</si>
  <si>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</si>
  <si>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</si>
  <si>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</si>
  <si>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</si>
  <si>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</si>
  <si>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</si>
  <si>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</si>
  <si>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</si>
  <si>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</si>
  <si>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</si>
  <si>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</si>
  <si>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</si>
  <si>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</si>
  <si>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</si>
  <si>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</si>
  <si>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</si>
  <si>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</si>
  <si>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</si>
  <si>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</si>
  <si>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</si>
  <si>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</si>
  <si>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</si>
  <si>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</si>
  <si>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</si>
  <si>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</si>
  <si>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</si>
  <si>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</si>
  <si>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</si>
  <si>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</si>
  <si>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</si>
  <si>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</si>
  <si>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</si>
  <si>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</si>
  <si>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</si>
  <si>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</si>
  <si>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</si>
  <si>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</si>
  <si>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</si>
  <si>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</si>
  <si>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</si>
  <si>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</si>
  <si>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</si>
  <si>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</si>
  <si>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</si>
  <si>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</si>
  <si>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</si>
  <si>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</si>
  <si>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</si>
  <si>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</si>
  <si>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</si>
  <si>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</si>
  <si>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</si>
  <si>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</si>
  <si>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</si>
  <si>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</si>
  <si>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</si>
  <si>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</si>
  <si>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</si>
  <si>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</si>
  <si>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</si>
  <si>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</si>
  <si>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</si>
  <si>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</si>
  <si>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</si>
  <si>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</si>
  <si>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</si>
  <si>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</si>
  <si>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</si>
  <si>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</si>
  <si>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</si>
  <si>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</si>
  <si>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</si>
  <si>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</si>
  <si>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</si>
  <si>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</si>
  <si>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</si>
  <si>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</si>
  <si>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</si>
  <si>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</si>
  <si>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</si>
  <si>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</si>
  <si>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</si>
  <si>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</si>
  <si>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</si>
  <si>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</si>
  <si>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</si>
  <si>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</si>
  <si>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</si>
  <si>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</si>
  <si>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</si>
  <si>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</si>
  <si>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</si>
  <si>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</si>
  <si>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</si>
  <si>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</si>
  <si>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</si>
  <si>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</si>
  <si>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</si>
  <si>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</si>
  <si>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</si>
  <si>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</si>
  <si>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</si>
  <si>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</si>
  <si>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</si>
  <si>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</si>
  <si>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</si>
  <si>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</si>
  <si>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</si>
  <si>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</si>
  <si>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</si>
  <si>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</si>
  <si>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</si>
  <si>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</si>
  <si>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</si>
  <si>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</si>
  <si>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</si>
  <si>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</si>
  <si>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</si>
  <si>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</si>
  <si>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</si>
  <si>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</si>
  <si>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</si>
  <si>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</si>
  <si>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</si>
  <si>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</si>
  <si>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</si>
  <si>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</si>
  <si>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</si>
  <si>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</si>
  <si>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</si>
  <si>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</si>
  <si>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</si>
  <si>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</si>
  <si>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</si>
  <si>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</si>
  <si>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</si>
  <si>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</si>
  <si>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</si>
  <si>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</si>
  <si>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</si>
  <si>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</si>
  <si>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</si>
  <si>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</si>
  <si>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</si>
  <si>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</si>
  <si>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</si>
  <si>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</si>
  <si>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</si>
  <si>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</si>
  <si>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</si>
  <si>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</si>
  <si>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</si>
  <si>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</si>
  <si>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</si>
  <si>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</si>
  <si>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</si>
  <si>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</si>
  <si>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</si>
  <si>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</si>
  <si>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</si>
  <si>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</si>
  <si>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</si>
  <si>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</si>
  <si>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</si>
  <si>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</si>
  <si>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</si>
  <si>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</si>
  <si>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</si>
  <si>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</si>
  <si>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</si>
  <si>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</si>
  <si>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</si>
  <si>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</si>
  <si>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</si>
  <si>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</si>
  <si>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</si>
  <si>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</si>
  <si>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</si>
  <si>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</si>
  <si>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</si>
  <si>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</si>
  <si>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</si>
  <si>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</si>
  <si>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</si>
  <si>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</si>
  <si>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</si>
  <si>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</si>
  <si>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</si>
  <si>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</si>
  <si>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</si>
  <si>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</si>
  <si>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</si>
  <si>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</si>
  <si>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</si>
  <si>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</si>
  <si>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</si>
  <si>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</si>
  <si>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</si>
  <si>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</si>
  <si>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</si>
  <si>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</si>
  <si>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</si>
  <si>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</si>
  <si>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</si>
  <si>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</si>
  <si>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</si>
  <si>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</si>
  <si>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</si>
  <si>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</si>
  <si>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</si>
  <si>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</si>
  <si>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</si>
  <si>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</si>
  <si>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</si>
  <si>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</si>
  <si>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</si>
  <si>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</si>
  <si>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</si>
  <si>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</si>
  <si>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</si>
  <si>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</si>
  <si>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</si>
  <si>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</si>
  <si>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</si>
  <si>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</si>
  <si>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</si>
  <si>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</si>
  <si>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</si>
  <si>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</si>
  <si>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</si>
  <si>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</si>
  <si>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</si>
  <si>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</si>
  <si>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</si>
  <si>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</si>
  <si>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</si>
  <si>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</si>
  <si>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</si>
  <si>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</si>
  <si>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</si>
  <si>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</si>
  <si>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</si>
  <si>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</si>
  <si>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</si>
  <si>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</si>
  <si>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</si>
  <si>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</si>
  <si>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</si>
  <si>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</si>
  <si>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</si>
  <si>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</si>
  <si>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</si>
  <si>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</si>
  <si>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</si>
  <si>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</si>
  <si>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</si>
  <si>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</si>
  <si>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</si>
  <si>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</si>
  <si>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</si>
  <si>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</si>
  <si>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</si>
  <si>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</si>
  <si>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</si>
  <si>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</si>
  <si>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</si>
  <si>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</si>
  <si>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</si>
  <si>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</si>
  <si>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</si>
  <si>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</si>
  <si>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</si>
  <si>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</si>
  <si>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</si>
  <si>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</si>
  <si>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</si>
  <si>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</si>
  <si>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</si>
  <si>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</si>
  <si>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</si>
  <si>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</si>
  <si>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</si>
  <si>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</si>
  <si>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</si>
  <si>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</si>
  <si>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</si>
  <si>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</si>
  <si>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</si>
  <si>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</si>
  <si>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</si>
  <si>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</si>
  <si>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</si>
  <si>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</si>
  <si>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</si>
  <si>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</si>
  <si>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</si>
  <si>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</si>
  <si>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</si>
  <si>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</si>
  <si>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</si>
  <si>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</si>
  <si>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</si>
  <si>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</si>
  <si>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</si>
  <si>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</si>
  <si>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</si>
  <si>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</si>
  <si>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</si>
  <si>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</si>
  <si>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</si>
  <si>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</si>
  <si>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</si>
  <si>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</si>
  <si>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</si>
  <si>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</si>
  <si>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</si>
  <si>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</si>
  <si>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</si>
  <si>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</si>
  <si>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</si>
  <si>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</si>
  <si>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</si>
  <si>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</si>
  <si>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</si>
  <si>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</si>
  <si>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</si>
  <si>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</si>
  <si>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</si>
  <si>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</si>
  <si>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</si>
  <si>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</si>
  <si>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</si>
  <si>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</si>
  <si>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</si>
  <si>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</si>
  <si>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</si>
  <si>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</si>
  <si>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</si>
  <si>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</si>
  <si>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</si>
  <si>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</si>
  <si>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</si>
  <si>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</si>
  <si>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</si>
  <si>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</si>
  <si>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</si>
  <si>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</si>
  <si>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</si>
  <si>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</si>
  <si>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</si>
  <si>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</si>
  <si>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</si>
  <si>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</si>
  <si>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</si>
  <si>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</si>
  <si>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</si>
  <si>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</si>
  <si>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</si>
  <si>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</si>
  <si>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</si>
  <si>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</si>
  <si>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</si>
  <si>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</si>
  <si>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</si>
  <si>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</si>
  <si>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</si>
  <si>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</si>
  <si>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</si>
  <si>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</si>
  <si>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</si>
  <si>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</si>
  <si>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</si>
  <si>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</si>
  <si>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</si>
  <si>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</si>
  <si>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</si>
  <si>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</si>
  <si>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</si>
  <si>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</si>
  <si>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</si>
  <si>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</si>
  <si>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</si>
  <si>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</si>
  <si>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</si>
  <si>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</si>
  <si>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</si>
  <si>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</si>
  <si>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</si>
  <si>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</si>
  <si>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</si>
  <si>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</si>
  <si>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</si>
  <si>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</si>
  <si>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</si>
  <si>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</si>
  <si>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</si>
  <si>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</si>
  <si>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</si>
  <si>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</si>
  <si>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</si>
  <si>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</si>
  <si>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</si>
  <si>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</si>
  <si>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</si>
  <si>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</si>
  <si>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</si>
  <si>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</si>
  <si>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</si>
  <si>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</si>
  <si>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</si>
  <si>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</si>
  <si>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</si>
  <si>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</si>
  <si>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</si>
  <si>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</si>
  <si>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</si>
  <si>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</si>
  <si>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</si>
  <si>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</si>
  <si>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</si>
  <si>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</si>
  <si>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</si>
  <si>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</si>
  <si>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</si>
  <si>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</si>
  <si>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</si>
  <si>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</si>
  <si>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</si>
  <si>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</si>
  <si>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</si>
  <si>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</si>
  <si>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</si>
  <si>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</si>
  <si>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</si>
  <si>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</si>
  <si>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</si>
  <si>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</si>
  <si>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</si>
  <si>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</si>
  <si>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</si>
  <si>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</si>
  <si>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</si>
  <si>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</si>
  <si>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</si>
  <si>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</si>
  <si>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</si>
  <si>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</si>
  <si>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</si>
  <si>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</si>
  <si>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</si>
  <si>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</si>
  <si>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</si>
  <si>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</si>
  <si>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</si>
  <si>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</si>
  <si>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</si>
  <si>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</si>
  <si>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</si>
  <si>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</si>
  <si>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</si>
  <si>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</si>
  <si>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</si>
  <si>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</si>
  <si>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</si>
  <si>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</si>
  <si>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</si>
  <si>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</si>
  <si>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</si>
  <si>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</si>
  <si>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</si>
  <si>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</si>
  <si>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</si>
  <si>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</si>
  <si>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</si>
  <si>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</si>
  <si>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</si>
  <si>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</si>
  <si>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</si>
  <si>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</si>
  <si>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</si>
  <si>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</si>
  <si>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</si>
  <si>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</si>
  <si>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</si>
  <si>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</si>
  <si>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</si>
  <si>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</si>
  <si>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</si>
  <si>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</si>
  <si>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</si>
  <si>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</si>
  <si>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</si>
  <si>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</si>
  <si>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</si>
  <si>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</si>
  <si>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</si>
  <si>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</si>
  <si>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</si>
  <si>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</si>
  <si>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</si>
  <si>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</si>
  <si>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</si>
  <si>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</si>
  <si>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</si>
  <si>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</si>
  <si>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</si>
  <si>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</si>
  <si>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</si>
  <si>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</si>
  <si>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</si>
  <si>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</si>
  <si>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</si>
  <si>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</si>
  <si>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</si>
  <si>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</si>
  <si>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</si>
  <si>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</si>
  <si>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</si>
  <si>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</si>
  <si>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</si>
  <si>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</si>
  <si>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</si>
  <si>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</si>
  <si>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</si>
  <si>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</si>
  <si>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</si>
  <si>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</si>
  <si>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</si>
  <si>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</si>
  <si>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</si>
  <si>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</si>
  <si>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</si>
  <si>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</si>
  <si>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</si>
  <si>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</si>
  <si>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</si>
  <si>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</si>
  <si>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</si>
  <si>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</si>
  <si>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</si>
  <si>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</si>
  <si>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</si>
  <si>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</si>
  <si>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</si>
  <si>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</si>
  <si>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</si>
  <si>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</si>
  <si>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</si>
  <si>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</si>
  <si>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</si>
  <si>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</si>
  <si>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</si>
  <si>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</si>
  <si>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</si>
  <si>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</si>
  <si>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</si>
  <si>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</si>
  <si>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</si>
  <si>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</si>
  <si>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</si>
  <si>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</si>
  <si>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</si>
  <si>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</si>
  <si>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</si>
  <si>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</si>
  <si>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</si>
  <si>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</si>
  <si>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</si>
  <si>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</si>
  <si>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</si>
  <si>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</si>
  <si>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</si>
  <si>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</si>
  <si>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</si>
  <si>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</si>
  <si>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</si>
  <si>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</si>
  <si>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</si>
  <si>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</si>
  <si>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</si>
  <si>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</si>
  <si>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</si>
  <si>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</si>
  <si>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</si>
  <si>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</si>
  <si>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</si>
  <si>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</si>
  <si>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</si>
  <si>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</si>
  <si>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</si>
  <si>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</si>
  <si>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</si>
  <si>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</si>
  <si>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</si>
  <si>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</si>
  <si>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</si>
  <si>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</si>
  <si>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</si>
  <si>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</si>
  <si>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</si>
  <si>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</si>
  <si>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</si>
  <si>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</si>
  <si>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</si>
  <si>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</si>
  <si>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</si>
  <si>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</si>
  <si>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</si>
  <si>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</si>
  <si>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</si>
  <si>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</si>
  <si>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</si>
  <si>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</si>
  <si>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</si>
  <si>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</si>
  <si>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</si>
  <si>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</si>
  <si>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</si>
  <si>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</si>
  <si>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</si>
  <si>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</si>
  <si>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</si>
  <si>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</si>
  <si>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</si>
  <si>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</si>
  <si>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</si>
  <si>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</si>
  <si>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</si>
  <si>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</si>
  <si>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</si>
  <si>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</si>
  <si>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</si>
  <si>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</si>
  <si>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</si>
  <si>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</si>
  <si>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</si>
  <si>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</si>
  <si>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</si>
  <si>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</si>
  <si>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</si>
  <si>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</si>
  <si>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</si>
  <si>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</si>
  <si>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</si>
  <si>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</si>
  <si>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</si>
  <si>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</si>
  <si>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</si>
  <si>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</si>
  <si>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</si>
  <si>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</si>
  <si>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</si>
  <si>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</si>
  <si>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</si>
  <si>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</si>
  <si>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</si>
  <si>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</si>
  <si>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</si>
  <si>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</si>
  <si>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</si>
  <si>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</si>
  <si>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</si>
  <si>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</si>
  <si>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</si>
  <si>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</si>
  <si>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</si>
  <si>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</si>
  <si>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</si>
  <si>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</si>
  <si>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</si>
  <si>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</si>
  <si>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</si>
  <si>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</si>
  <si>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</si>
  <si>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</si>
  <si>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</si>
  <si>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</si>
  <si>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</si>
  <si>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</si>
  <si>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</si>
  <si>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</si>
  <si>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</si>
  <si>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</si>
  <si>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</si>
  <si>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</si>
  <si>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</si>
  <si>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</si>
  <si>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</si>
  <si>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</si>
  <si>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</si>
  <si>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</si>
  <si>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</si>
  <si>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</si>
  <si>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</si>
  <si>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>Lead</t>
  </si>
  <si>
    <t>Axel Rogge</t>
  </si>
  <si>
    <t>+491725187026</t>
  </si>
  <si>
    <t>Karim  Maghrebi</t>
  </si>
  <si>
    <t>Info Vitalis</t>
  </si>
  <si>
    <t>Rosi Hennig-Pfeffer</t>
  </si>
  <si>
    <t>+4989355476</t>
  </si>
  <si>
    <t>Helga Konig</t>
  </si>
  <si>
    <t>+4915224475472</t>
  </si>
  <si>
    <t>Margot Ettenhuber</t>
  </si>
  <si>
    <t>+4917612014000</t>
  </si>
  <si>
    <t>Susanna Müller</t>
  </si>
  <si>
    <t>+4915115271093</t>
  </si>
  <si>
    <t>Ingrid Schöfer</t>
  </si>
  <si>
    <t>+4981655378</t>
  </si>
  <si>
    <t>Trausan N/A</t>
  </si>
  <si>
    <t>+491794645206</t>
  </si>
  <si>
    <t>Corrado Di Pancrazio</t>
  </si>
  <si>
    <t>+491733534705</t>
  </si>
  <si>
    <t>Ceylan Halili</t>
  </si>
  <si>
    <t>+4915206372532</t>
  </si>
  <si>
    <t>Neue Anfrage</t>
  </si>
  <si>
    <t>Christiane Dini</t>
  </si>
  <si>
    <t>+49 1718527077</t>
  </si>
  <si>
    <t>Christine Ruff</t>
  </si>
  <si>
    <t>+49 810632445</t>
  </si>
  <si>
    <t>Isolde Kettenstock</t>
  </si>
  <si>
    <t>+49 812178692</t>
  </si>
  <si>
    <t>Klaus Schwarz-Seelig</t>
  </si>
  <si>
    <t>+49 87114229465</t>
  </si>
  <si>
    <t>Manfred Pfaff</t>
  </si>
  <si>
    <t>+49 1735674804</t>
  </si>
  <si>
    <t>Teresia Fleck</t>
  </si>
  <si>
    <t>Irene Schnell</t>
  </si>
  <si>
    <t>Meggy Kaiser</t>
  </si>
  <si>
    <t>+49 16097008155</t>
  </si>
  <si>
    <t>Andrea Greim</t>
  </si>
  <si>
    <t>+4915142668885</t>
  </si>
  <si>
    <t>Susanna Teschner</t>
  </si>
  <si>
    <t>+4917624280678</t>
  </si>
  <si>
    <t>Walter Mühlen</t>
  </si>
  <si>
    <t>+491794647340</t>
  </si>
  <si>
    <t>Jasmin Scior</t>
  </si>
  <si>
    <t>+491785541678</t>
  </si>
  <si>
    <t>manooch.derakhshan derakhshan</t>
  </si>
  <si>
    <t>+498719740630</t>
  </si>
  <si>
    <t>Nadine Neumann</t>
  </si>
  <si>
    <t>+4915222313822</t>
  </si>
  <si>
    <t>Edith Sonntag</t>
  </si>
  <si>
    <t>+498943660970</t>
  </si>
  <si>
    <t>Annelise Stadler</t>
  </si>
  <si>
    <t>+49 8111492</t>
  </si>
  <si>
    <t>Elisabeth Spitzweck</t>
  </si>
  <si>
    <t>+49 81659240131</t>
  </si>
  <si>
    <t>Karin Meier</t>
  </si>
  <si>
    <t>+49 1724319483</t>
  </si>
  <si>
    <t>Magda Langenbach</t>
  </si>
  <si>
    <t>+49 15209288598</t>
  </si>
  <si>
    <t>+49 81215798</t>
  </si>
  <si>
    <t>Sirikit Hermann</t>
  </si>
  <si>
    <t>+49 17645530906</t>
  </si>
  <si>
    <t>Tim Douglas</t>
  </si>
  <si>
    <t>+49 1752796040</t>
  </si>
  <si>
    <t>+49 15231945735</t>
  </si>
  <si>
    <t>5c95fc70-05bd-4d32-a85b-c74d8c484e7f</t>
  </si>
  <si>
    <t>8e3b5bd0-0b63-459a-9fec-b05051119aac</t>
  </si>
  <si>
    <t>9ae7744b-fbb2-4091-935d-aa43cb1e034a</t>
  </si>
  <si>
    <t>80eff84a-a93d-44bc-ac32-d302ed07c8df</t>
  </si>
  <si>
    <t>53344d96-d122-4889-8ba2-226833e34b86</t>
  </si>
  <si>
    <t>6842263e-8edb-4bd0-851a-ce3e3d998f41</t>
  </si>
  <si>
    <t>A305c19d-b3b1-4427-90ce-9470ebeeac02</t>
  </si>
  <si>
    <t>C38ad313-71d4-41be-8dc4-79350c6cc71d</t>
  </si>
  <si>
    <t>F8b3c96d-20fb-4e12-affa-82d39740bbca</t>
  </si>
  <si>
    <t>Münchner Straße 30 c</t>
  </si>
  <si>
    <t>Rosenstr. 23D</t>
  </si>
  <si>
    <t>adlerstraße 19</t>
  </si>
  <si>
    <t>DE-85599 hergolding</t>
  </si>
  <si>
    <t>0ba309b9-8ef8-4a69-be4f-c9bdb3df4f6f</t>
  </si>
  <si>
    <t>5a551a4e-2b9b-402d-bf18-0259e5130dc0</t>
  </si>
  <si>
    <t>93eb825b-7876-4434-a417-ddba5b654acc</t>
  </si>
  <si>
    <t>187fb3bf-0595-4662-817d-b7b1bac9d2e9</t>
  </si>
  <si>
    <t>220bdb65-7229-493f-878f-ff1407b6f199</t>
  </si>
  <si>
    <t>1437cd9d-9591-40ec-9215-b8423fa4ab76</t>
  </si>
  <si>
    <t>F6c078e5-bf46-4ff3-9f5e-277a0f9c9abe</t>
  </si>
  <si>
    <t>DE-85399 Hallbergmoos</t>
  </si>
  <si>
    <t>Schwillacher Str. 1</t>
  </si>
  <si>
    <t>Edeltraud Hörath</t>
  </si>
  <si>
    <t>+49 87120219142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</si>
  <si>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Mobilität: Mobil im Rollstuhl
Medizinisches: Gehbehinderung
Aufgaben: Einkaufen, Putzen und Staubsaugen
Wöchentlicher Umfang: Ein- bis zweimal im Monat
Umfang am Stück: 1 bis 2 Stunden
Abrechnung über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</si>
  <si>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</si>
  <si>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Mobilität: Bettlägerig
Medizinisches: Altersschwäche
Aufgaben: Betreuung + Haushalt
Wöchentlicher Umfang: Täglich
Umfang am Stück: Mehr als 2 Stunden
Abrechnung über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</si>
  <si>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Sabine Bäuml</t>
  </si>
  <si>
    <t>+49 1717265494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</si>
  <si>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Mobilität: Mobil im Rollstuhl
Medizinisches: Gehirntumor, Lähmungen
Aufgaben: Betreuung + Haushalt
Wöchentlicher Umfang: Einmal wöchentlich
Umfang am Stück: 1 Stunde
Abrechnung über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</si>
  <si>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Manfred Kosak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</si>
  <si>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Häufigkeit: 1x pro Woche
ID: 8e3b5bd0-0b63-459a-9fec-b05051119aac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</si>
  <si>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Häufigkeit: 1x pro Woche
ID: 9ae7744b-fbb2-4091-935d-aa43cb1e034a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</si>
  <si>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</si>
  <si>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Häufigkeit: N/A
ID: 53344d96-d122-4889-8ba2-226833e34b86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</si>
  <si>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Häufigkeit: 1x pro Woche
ID: 6842263e-8edb-4bd0-851a-ce3e3d998f41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</si>
  <si>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Häufigkeit: 1x pro Woche
ID: A305c19d-b3b1-4427-90ce-9470ebeeac02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</si>
  <si>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Häufigkeit: 1x pro Woche
ID: C38ad313-71d4-41be-8dc4-79350c6cc71d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</si>
  <si>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Häufigkeit: 1x pro Woche
ID: F8b3c96d-20fb-4e12-affa-82d39740bbca</t>
  </si>
  <si>
    <t>ⓘ</t>
  </si>
  <si>
    <t>Hinweis</t>
  </si>
  <si>
    <t>Namens-Vertauschung erkannt: 'Christiane Dini' vs. bestehend 'Dini Christiane'</t>
  </si>
  <si>
    <t>Name wird als 'Christiane Dini' eingetragen. Leadtyp: Neue Anfrage, Datum: 02.01.26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</si>
  <si>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</si>
  <si>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Betreff: Fw: Neue Anfrage: Christine Ruff
Datei: Fw_ Neue Anfrage_ Christine Ruff 2.eml
E-Mail: jruff@t-online.de
Erreichbarkeit: Ganztägig telefonisch gut erreichbar
Senior Name: Christine Ruff
Beziehung: Klient selbst
Alter: 75
Lebenssituation: Wohnung
Mobilität: Mobil mit Rollator
Medizinisches: COPD, Krebs
Aufgaben: Nur Betreuung
Wöchentlicher Umfang: Einmal wöchentlich
Umfang am Stück: 1 Stunde
Abrechnung über Bet.- &amp; Entlastungsleistungen: Ja
Anfragedetails: Std. Betreuung
Weitere Details: Pflegegrad/-stufe: 2
Bedarf: Schnellstmöglich
Bedarfsort Ort: Zorneding-DE
Anschrift: Münchner Straße 30 c
Budgetrahmen: 25 € bis 55 € pro Stunde
Geschlecht Betreuungskraft: Weiblich oder Männlich
ID: 11566902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</si>
  <si>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Anschrift: Rosenstr. 23D
ID: 11577062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</si>
  <si>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Anschrift: adlerstraße 19
ID: 11578113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</si>
  <si>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</si>
  <si>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</si>
  <si>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Häufigkeit: Mehr als 2x pro Woche
ID: 0ba309b9-8ef8-4a69-be4f-c9bdb3df4f6f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</si>
  <si>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Häufigkeit: 1x pro Woche
ID: 5a551a4e-2b9b-402d-bf18-0259e5130dc0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</si>
  <si>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Häufigkeit: 1x pro Woche
ID: 5c95fc70-05bd-4d32-a85b-c74d8c484e7f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</si>
  <si>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Häufigkeit: 1x pro Woche
ID: 93eb825b-7876-4434-a417-ddba5b654acc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</si>
  <si>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Häufigkeit: 1x pro Woche
ID: 187fb3bf-0595-4662-817d-b7b1bac9d2e9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</si>
  <si>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Häufigkeit: Mehr als 2x pro Woche
ID: 220bdb65-7229-493f-878f-ff1407b6f199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</si>
  <si>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Häufigkeit: 1x pro Woche
ID: 1437cd9d-9591-40ec-9215-b8423fa4ab76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</si>
  <si>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Häufigkeit: 2x pro Woche
ID: F6c078e5-bf46-4ff3-9f5e-277a0f9c9abe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</si>
  <si>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Mobilität: Mobil mit Rollator
Medizinisches: Altersschwäche, Inkontinenz
Aufgaben: Putzen und Staubsaugen
Wöchentlicher Umfang: Ein- bis zweimal im Monat
Umfang am Stück: 1 bis 2 Stunden
Abrechnung über Bet.- &amp; Entlastungsleistungen: Ja
Pflegedienst vorhanden: Nein
Anfragedetails: Haushaltshilfe
Weitere Details: Pflegegrad/-stufe: 2
Bedarf: Schnellstmöglich
Bedarfsort Ort: Hallbergmoos-DE
Anschrift: DE-85399 Hallbergmoos
ID: 11714018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</si>
  <si>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Mobilität: Mobil mit Rollator
Medizinisches: Altersschwäche, COPD
Aufgaben: Geschirr spülen, Wäsche waschen, Bügeln, Putzen und Staubsaugen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</si>
  <si>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Mobilität: Mobil mit Rollator
Medizinisches: Altersschwäche
Aufgaben: Putzen und Staubsaugen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</si>
  <si>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Mobilität: Mobil mit Rollator
Medizinisches: Körperlich eingeschränkt, Altersschwäche, Depressionen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2
Bedarf: Schnellstmöglich
Bedarfsort Ort: Landshut-DE
ID: 11749972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</si>
  <si>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Mobilität: Mobil ohne Hilfsmittel
Medizinisches: Körperlich eingeschränkt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Vaterstetten-DE
ID: 11747500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</si>
  <si>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Mobilität: Mobil mit Rollator
Medizinisches: Altersschwäche
Aufgaben: Putzen, Staubsaugen und Fenster putzen
Wöchentlicher Umfang: Ein- bis zweimal im Monat
Umfang am Stück: Mehr als 2 Stunden
Abrechnung über Bet.- &amp; Entlastungsleistungen: Ja
Pflegedienst vorhanden: Nein
Anfragedetails: Haushaltshilfe
Weitere Details: Pflegegrad/-stufe: 1
Bedarf: Schnellstmöglich
Bedarfsort Ort: München-DE
ID: 11715949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</si>
  <si>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</si>
  <si>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</si>
  <si>
    <t>⚠</t>
  </si>
  <si>
    <t>Typ</t>
  </si>
  <si>
    <t>Zeitstempel</t>
  </si>
  <si>
    <t>Meldung</t>
  </si>
  <si>
    <t>Details / Ursache</t>
  </si>
  <si>
    <t>Aehnlicher Name gefunden: 'Rosi Hennig-Pfeffer' vs. bestehend 'Henning-Pfeffer, Rosi' (Distanz: 1)</t>
  </si>
  <si>
    <t>Moeglicherweise gleiche Person. Leadtyp: Lead, Datum: 02.01.26</t>
  </si>
  <si>
    <t>Aehnlicher Name gefunden: 'Teresia Fleck' vs. bestehend 'Fleck, Theresia' (Distanz: 1)</t>
  </si>
  <si>
    <t>Moeglicherweise gleiche Person. Leadtyp: Neue Anfrage, Datum: 02.01.26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</si>
</sst>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3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  <font>
      <b/>
      <sz val="10"/>
      <color rgb="FFFFFFFF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  <xf numFmtId="0" fontId="0" fillId="9" borderId="0" xfId="0" applyFill="1"/>
    <xf numFmtId="22" fontId="0" fillId="9" borderId="0" xfId="0" applyNumberFormat="1" applyFill="1"/>
    <xf numFmtId="0" fontId="22" fillId="10" borderId="0" xfId="0" applyFont="1" applyFill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0" fontId="9" fillId="0" borderId="0" xfId="0" applyFont="1" applyFill="1" applyAlignment="1">
      <alignment wrapText="1"/>
    </xf>
    <xf numFmtId="0" fontId="9" fillId="0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135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36-8249-8F67-0F187665F444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36-8249-8F67-0F187665F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827840"/>
        <c:axId val="1784839040"/>
      </c:lineChart>
      <c:dateAx>
        <c:axId val="17848278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4839040"/>
        <c:crosses val="autoZero"/>
        <c:auto val="1"/>
        <c:lblOffset val="100"/>
        <c:baseTimeUnit val="months"/>
      </c:dateAx>
      <c:valAx>
        <c:axId val="178483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8278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A3-734F-A4B4-60D597EB6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504896"/>
        <c:axId val="1798633920"/>
      </c:barChart>
      <c:dateAx>
        <c:axId val="17985048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98633920"/>
        <c:crosses val="autoZero"/>
        <c:auto val="1"/>
        <c:lblOffset val="100"/>
        <c:baseTimeUnit val="months"/>
      </c:dateAx>
      <c:valAx>
        <c:axId val="179863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50489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266" name="Textfeld 3265">
          <a:extLst>
            <a:ext uri="{FF2B5EF4-FFF2-40B4-BE49-F238E27FC236}">
              <a16:creationId xmlns:a16="http://schemas.microsoft.com/office/drawing/2014/main" id="{94240BDE-F740-C66D-14B5-4BC053DBE8E9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267" name="Abgerundetes Rechteck 3266">
          <a:extLst>
            <a:ext uri="{FF2B5EF4-FFF2-40B4-BE49-F238E27FC236}">
              <a16:creationId xmlns:a16="http://schemas.microsoft.com/office/drawing/2014/main" id="{95A4B32B-192E-3323-D6DB-D2F98400F52B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268" name="Textfeld 3267">
          <a:extLst>
            <a:ext uri="{FF2B5EF4-FFF2-40B4-BE49-F238E27FC236}">
              <a16:creationId xmlns:a16="http://schemas.microsoft.com/office/drawing/2014/main" id="{82C6FED4-EAB2-52F3-55AA-218D0AADB41C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269" name="Textfeld 3268">
          <a:extLst>
            <a:ext uri="{FF2B5EF4-FFF2-40B4-BE49-F238E27FC236}">
              <a16:creationId xmlns:a16="http://schemas.microsoft.com/office/drawing/2014/main" id="{D56AF11A-F003-EF85-BEAA-CB5CE5542235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151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270" name="Rechteck 3269">
          <a:extLst>
            <a:ext uri="{FF2B5EF4-FFF2-40B4-BE49-F238E27FC236}">
              <a16:creationId xmlns:a16="http://schemas.microsoft.com/office/drawing/2014/main" id="{EFF5D857-467A-6C75-E7EF-00EE6C0FA889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271" name="Abgerundetes Rechteck 3270">
          <a:extLst>
            <a:ext uri="{FF2B5EF4-FFF2-40B4-BE49-F238E27FC236}">
              <a16:creationId xmlns:a16="http://schemas.microsoft.com/office/drawing/2014/main" id="{ABC1FCBD-6B05-A5BD-9CCB-8129C590CAE1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272" name="Textfeld 3271">
          <a:extLst>
            <a:ext uri="{FF2B5EF4-FFF2-40B4-BE49-F238E27FC236}">
              <a16:creationId xmlns:a16="http://schemas.microsoft.com/office/drawing/2014/main" id="{5ED1F2C0-9A45-3CCD-EC87-012A543F4B2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273" name="Textfeld 3272">
          <a:extLst>
            <a:ext uri="{FF2B5EF4-FFF2-40B4-BE49-F238E27FC236}">
              <a16:creationId xmlns:a16="http://schemas.microsoft.com/office/drawing/2014/main" id="{2A303708-4D06-51F1-D5F7-0F90122BEEED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13,9%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274" name="Rechteck 3273">
          <a:extLst>
            <a:ext uri="{FF2B5EF4-FFF2-40B4-BE49-F238E27FC236}">
              <a16:creationId xmlns:a16="http://schemas.microsoft.com/office/drawing/2014/main" id="{84BD4BE9-3EA0-BC5D-F085-8ECB18A74BCD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275" name="Abgerundetes Rechteck 3274">
          <a:extLst>
            <a:ext uri="{FF2B5EF4-FFF2-40B4-BE49-F238E27FC236}">
              <a16:creationId xmlns:a16="http://schemas.microsoft.com/office/drawing/2014/main" id="{ED0555F8-EC15-5FEB-66C4-A86512C1D130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276" name="Textfeld 3275">
          <a:extLst>
            <a:ext uri="{FF2B5EF4-FFF2-40B4-BE49-F238E27FC236}">
              <a16:creationId xmlns:a16="http://schemas.microsoft.com/office/drawing/2014/main" id="{A0077FAB-DC5C-7BCD-8347-C50CBA4350F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277" name="Textfeld 3276">
          <a:extLst>
            <a:ext uri="{FF2B5EF4-FFF2-40B4-BE49-F238E27FC236}">
              <a16:creationId xmlns:a16="http://schemas.microsoft.com/office/drawing/2014/main" id="{FA66F9B7-3069-4886-9CE7-75C491CA9F5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278" name="Rechteck 3277">
          <a:extLst>
            <a:ext uri="{FF2B5EF4-FFF2-40B4-BE49-F238E27FC236}">
              <a16:creationId xmlns:a16="http://schemas.microsoft.com/office/drawing/2014/main" id="{18CE71EE-CB07-7401-9F9C-5674F0410AA3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279" name="Abgerundetes Rechteck 3278">
          <a:extLst>
            <a:ext uri="{FF2B5EF4-FFF2-40B4-BE49-F238E27FC236}">
              <a16:creationId xmlns:a16="http://schemas.microsoft.com/office/drawing/2014/main" id="{57B5620E-586D-B4FA-8486-84C48C34726C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280" name="Textfeld 3279">
          <a:extLst>
            <a:ext uri="{FF2B5EF4-FFF2-40B4-BE49-F238E27FC236}">
              <a16:creationId xmlns:a16="http://schemas.microsoft.com/office/drawing/2014/main" id="{E8FA51EF-2859-16F7-4AB8-0AE0A9F034A7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281" name="Textfeld 3280">
          <a:extLst>
            <a:ext uri="{FF2B5EF4-FFF2-40B4-BE49-F238E27FC236}">
              <a16:creationId xmlns:a16="http://schemas.microsoft.com/office/drawing/2014/main" id="{52535AA9-EF33-B1B2-B6FF-FAA05CB55AB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55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282" name="Rechteck 3281">
          <a:extLst>
            <a:ext uri="{FF2B5EF4-FFF2-40B4-BE49-F238E27FC236}">
              <a16:creationId xmlns:a16="http://schemas.microsoft.com/office/drawing/2014/main" id="{F3792CB5-21BA-7D85-21E3-B1234DF93EE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283" name="Abgerundetes Rechteck 3282">
          <a:extLst>
            <a:ext uri="{FF2B5EF4-FFF2-40B4-BE49-F238E27FC236}">
              <a16:creationId xmlns:a16="http://schemas.microsoft.com/office/drawing/2014/main" id="{5C4FAAB7-51D8-9911-A289-1D1620423C9B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284" name="Textfeld 3283">
          <a:extLst>
            <a:ext uri="{FF2B5EF4-FFF2-40B4-BE49-F238E27FC236}">
              <a16:creationId xmlns:a16="http://schemas.microsoft.com/office/drawing/2014/main" id="{4DE62B02-DFA9-EFB5-CBBC-21FA7CF7F40A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285" name="Diagramm 3284">
          <a:extLst>
            <a:ext uri="{FF2B5EF4-FFF2-40B4-BE49-F238E27FC236}">
              <a16:creationId xmlns:a16="http://schemas.microsoft.com/office/drawing/2014/main" id="{FB0ACD3F-AA29-0BD0-923F-26BCB183E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286" name="Abgerundetes Rechteck 3285">
          <a:extLst>
            <a:ext uri="{FF2B5EF4-FFF2-40B4-BE49-F238E27FC236}">
              <a16:creationId xmlns:a16="http://schemas.microsoft.com/office/drawing/2014/main" id="{FCC7D731-869B-D09F-8790-565B727C978F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287" name="Textfeld 3286">
          <a:extLst>
            <a:ext uri="{FF2B5EF4-FFF2-40B4-BE49-F238E27FC236}">
              <a16:creationId xmlns:a16="http://schemas.microsoft.com/office/drawing/2014/main" id="{DB05C4A3-ECED-5F7F-2526-D17EDDE7CD57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288" name="Diagramm 3287">
          <a:extLst>
            <a:ext uri="{FF2B5EF4-FFF2-40B4-BE49-F238E27FC236}">
              <a16:creationId xmlns:a16="http://schemas.microsoft.com/office/drawing/2014/main" id="{A7B447FC-07A1-3530-F005-D53573C414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3289" name="Abgerundetes Rechteck 3288">
          <a:extLst>
            <a:ext uri="{FF2B5EF4-FFF2-40B4-BE49-F238E27FC236}">
              <a16:creationId xmlns:a16="http://schemas.microsoft.com/office/drawing/2014/main" id="{1256B598-3B19-AB03-ADCF-6D32FC48B1E1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290" name="Textfeld 3289">
          <a:extLst>
            <a:ext uri="{FF2B5EF4-FFF2-40B4-BE49-F238E27FC236}">
              <a16:creationId xmlns:a16="http://schemas.microsoft.com/office/drawing/2014/main" id="{2E260AAE-11D6-ACA4-5874-A7B722F75E5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291" name="Textfeld 3290">
          <a:extLst>
            <a:ext uri="{FF2B5EF4-FFF2-40B4-BE49-F238E27FC236}">
              <a16:creationId xmlns:a16="http://schemas.microsoft.com/office/drawing/2014/main" id="{DFBCCFC0-614D-932B-082C-2E2F8228773A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292" name="Textfeld 3291">
          <a:extLst>
            <a:ext uri="{FF2B5EF4-FFF2-40B4-BE49-F238E27FC236}">
              <a16:creationId xmlns:a16="http://schemas.microsoft.com/office/drawing/2014/main" id="{089BA823-43F7-F272-8656-306993973765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293" name="Textfeld 3292">
          <a:extLst>
            <a:ext uri="{FF2B5EF4-FFF2-40B4-BE49-F238E27FC236}">
              <a16:creationId xmlns:a16="http://schemas.microsoft.com/office/drawing/2014/main" id="{334FFCFC-4792-04E1-B886-81E3FC3D1EA2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294" name="Rechteck 3293">
          <a:extLst>
            <a:ext uri="{FF2B5EF4-FFF2-40B4-BE49-F238E27FC236}">
              <a16:creationId xmlns:a16="http://schemas.microsoft.com/office/drawing/2014/main" id="{877369F5-351A-DCA2-6705-D9226AB769E1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295" name="Textfeld 3294">
          <a:extLst>
            <a:ext uri="{FF2B5EF4-FFF2-40B4-BE49-F238E27FC236}">
              <a16:creationId xmlns:a16="http://schemas.microsoft.com/office/drawing/2014/main" id="{951CB2DD-9629-C343-46CB-A34217F5EB2E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96" name="Textfeld 3295">
          <a:extLst>
            <a:ext uri="{FF2B5EF4-FFF2-40B4-BE49-F238E27FC236}">
              <a16:creationId xmlns:a16="http://schemas.microsoft.com/office/drawing/2014/main" id="{7056656D-EE76-EBC9-E787-C92FDCE5CEEE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297" name="Textfeld 3296">
          <a:extLst>
            <a:ext uri="{FF2B5EF4-FFF2-40B4-BE49-F238E27FC236}">
              <a16:creationId xmlns:a16="http://schemas.microsoft.com/office/drawing/2014/main" id="{FE1779F6-B8C8-81A1-F3D2-C582BB6D1A3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298" name="Textfeld 3297">
          <a:extLst>
            <a:ext uri="{FF2B5EF4-FFF2-40B4-BE49-F238E27FC236}">
              <a16:creationId xmlns:a16="http://schemas.microsoft.com/office/drawing/2014/main" id="{0EF0A4D3-8E34-586E-E2DA-9BDDE0584FA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299" name="Textfeld 3298">
          <a:extLst>
            <a:ext uri="{FF2B5EF4-FFF2-40B4-BE49-F238E27FC236}">
              <a16:creationId xmlns:a16="http://schemas.microsoft.com/office/drawing/2014/main" id="{F2BF7883-DD77-B8B3-246D-4FA7A8DAADE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300" name="Textfeld 3299">
          <a:extLst>
            <a:ext uri="{FF2B5EF4-FFF2-40B4-BE49-F238E27FC236}">
              <a16:creationId xmlns:a16="http://schemas.microsoft.com/office/drawing/2014/main" id="{2E2E3362-1652-BFF9-4E73-5A9EF7827BF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301" name="Textfeld 3300">
          <a:extLst>
            <a:ext uri="{FF2B5EF4-FFF2-40B4-BE49-F238E27FC236}">
              <a16:creationId xmlns:a16="http://schemas.microsoft.com/office/drawing/2014/main" id="{D7E7FD2A-F484-3ADF-795A-A167C6A4BC88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302" name="Textfeld 3301">
          <a:extLst>
            <a:ext uri="{FF2B5EF4-FFF2-40B4-BE49-F238E27FC236}">
              <a16:creationId xmlns:a16="http://schemas.microsoft.com/office/drawing/2014/main" id="{584A318C-B7EF-C493-8889-8F0B497CBB7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303" name="Textfeld 3302">
          <a:extLst>
            <a:ext uri="{FF2B5EF4-FFF2-40B4-BE49-F238E27FC236}">
              <a16:creationId xmlns:a16="http://schemas.microsoft.com/office/drawing/2014/main" id="{E7C6B316-5FA7-01BE-2EAC-0F32411724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3304" name="Textfeld 3303">
          <a:extLst>
            <a:ext uri="{FF2B5EF4-FFF2-40B4-BE49-F238E27FC236}">
              <a16:creationId xmlns:a16="http://schemas.microsoft.com/office/drawing/2014/main" id="{C5B3D453-397D-736A-F04C-EEC352350E30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3305" name="Textfeld 3304">
          <a:extLst>
            <a:ext uri="{FF2B5EF4-FFF2-40B4-BE49-F238E27FC236}">
              <a16:creationId xmlns:a16="http://schemas.microsoft.com/office/drawing/2014/main" id="{A4005282-0B8B-31C6-8CEF-BC87361FB5A2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3306" name="Textfeld 3305">
          <a:extLst>
            <a:ext uri="{FF2B5EF4-FFF2-40B4-BE49-F238E27FC236}">
              <a16:creationId xmlns:a16="http://schemas.microsoft.com/office/drawing/2014/main" id="{A44A7D8E-DF99-3BC8-FA0F-1A8BD3D0690A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3307" name="Textfeld 3306">
          <a:extLst>
            <a:ext uri="{FF2B5EF4-FFF2-40B4-BE49-F238E27FC236}">
              <a16:creationId xmlns:a16="http://schemas.microsoft.com/office/drawing/2014/main" id="{B2B8F052-CB13-5238-5458-F62021268CE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3308" name="Textfeld 3307">
          <a:extLst>
            <a:ext uri="{FF2B5EF4-FFF2-40B4-BE49-F238E27FC236}">
              <a16:creationId xmlns:a16="http://schemas.microsoft.com/office/drawing/2014/main" id="{98892EAF-2A20-BB2E-9767-F5D54D1F15A0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3309" name="Textfeld 3308">
          <a:extLst>
            <a:ext uri="{FF2B5EF4-FFF2-40B4-BE49-F238E27FC236}">
              <a16:creationId xmlns:a16="http://schemas.microsoft.com/office/drawing/2014/main" id="{4D36F2A0-291A-861A-9E48-62638731731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3310" name="Textfeld 3309">
          <a:extLst>
            <a:ext uri="{FF2B5EF4-FFF2-40B4-BE49-F238E27FC236}">
              <a16:creationId xmlns:a16="http://schemas.microsoft.com/office/drawing/2014/main" id="{35D5A026-7F1E-7F28-A8B2-BF64C7D7B8D9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3311" name="Textfeld 3310">
          <a:extLst>
            <a:ext uri="{FF2B5EF4-FFF2-40B4-BE49-F238E27FC236}">
              <a16:creationId xmlns:a16="http://schemas.microsoft.com/office/drawing/2014/main" id="{DCD87881-D814-CA69-EFEF-98567B8EA710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3312" name="Textfeld 3311">
          <a:extLst>
            <a:ext uri="{FF2B5EF4-FFF2-40B4-BE49-F238E27FC236}">
              <a16:creationId xmlns:a16="http://schemas.microsoft.com/office/drawing/2014/main" id="{6C721A70-B456-B5FE-6B8D-2DA2EAB6D3EB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3313" name="Textfeld 3312">
          <a:extLst>
            <a:ext uri="{FF2B5EF4-FFF2-40B4-BE49-F238E27FC236}">
              <a16:creationId xmlns:a16="http://schemas.microsoft.com/office/drawing/2014/main" id="{0575D810-ED96-725E-2DBD-473BAC6A909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3314" name="Textfeld 3313">
          <a:extLst>
            <a:ext uri="{FF2B5EF4-FFF2-40B4-BE49-F238E27FC236}">
              <a16:creationId xmlns:a16="http://schemas.microsoft.com/office/drawing/2014/main" id="{BF3ACC80-5A76-35C5-E4D9-E53A894EE0D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3315" name="Textfeld 3314">
          <a:extLst>
            <a:ext uri="{FF2B5EF4-FFF2-40B4-BE49-F238E27FC236}">
              <a16:creationId xmlns:a16="http://schemas.microsoft.com/office/drawing/2014/main" id="{EB449272-1DA7-B679-5CCD-06E114A053B6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3316" name="Textfeld 3315">
          <a:extLst>
            <a:ext uri="{FF2B5EF4-FFF2-40B4-BE49-F238E27FC236}">
              <a16:creationId xmlns:a16="http://schemas.microsoft.com/office/drawing/2014/main" id="{120439D5-AFFC-77C8-B81A-0D9819186FC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3317" name="Textfeld 3316">
          <a:extLst>
            <a:ext uri="{FF2B5EF4-FFF2-40B4-BE49-F238E27FC236}">
              <a16:creationId xmlns:a16="http://schemas.microsoft.com/office/drawing/2014/main" id="{10811694-44EC-B37F-E17F-62100BAE1FF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3318" name="Textfeld 3317">
          <a:extLst>
            <a:ext uri="{FF2B5EF4-FFF2-40B4-BE49-F238E27FC236}">
              <a16:creationId xmlns:a16="http://schemas.microsoft.com/office/drawing/2014/main" id="{8A3C8B39-3BC5-6639-B71A-68886100EE36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3319" name="Textfeld 3318">
          <a:extLst>
            <a:ext uri="{FF2B5EF4-FFF2-40B4-BE49-F238E27FC236}">
              <a16:creationId xmlns:a16="http://schemas.microsoft.com/office/drawing/2014/main" id="{FA70127B-A15C-913C-99A8-8D0BF3F628C0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3320" name="Textfeld 3319">
          <a:extLst>
            <a:ext uri="{FF2B5EF4-FFF2-40B4-BE49-F238E27FC236}">
              <a16:creationId xmlns:a16="http://schemas.microsoft.com/office/drawing/2014/main" id="{02087891-5601-72BE-E248-74658667DC75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3321" name="Textfeld 3320">
          <a:extLst>
            <a:ext uri="{FF2B5EF4-FFF2-40B4-BE49-F238E27FC236}">
              <a16:creationId xmlns:a16="http://schemas.microsoft.com/office/drawing/2014/main" id="{FE4E2987-0EF1-D578-9F31-76386BFD4907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3322" name="Abgerundetes Rechteck 3321">
          <a:extLst>
            <a:ext uri="{FF2B5EF4-FFF2-40B4-BE49-F238E27FC236}">
              <a16:creationId xmlns:a16="http://schemas.microsoft.com/office/drawing/2014/main" id="{67051171-4C64-38C7-ABA6-5A385CD25D88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323" name="Textfeld 3322">
          <a:extLst>
            <a:ext uri="{FF2B5EF4-FFF2-40B4-BE49-F238E27FC236}">
              <a16:creationId xmlns:a16="http://schemas.microsoft.com/office/drawing/2014/main" id="{1F545BBA-5D5C-31A7-3B68-FF2AD81D0F63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324" name="Textfeld 3323">
          <a:extLst>
            <a:ext uri="{FF2B5EF4-FFF2-40B4-BE49-F238E27FC236}">
              <a16:creationId xmlns:a16="http://schemas.microsoft.com/office/drawing/2014/main" id="{1094DF36-857E-0CD9-FDD5-922D996B1053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325" name="Textfeld 3324">
          <a:extLst>
            <a:ext uri="{FF2B5EF4-FFF2-40B4-BE49-F238E27FC236}">
              <a16:creationId xmlns:a16="http://schemas.microsoft.com/office/drawing/2014/main" id="{988165A3-BCDF-CF02-5904-F11FDDB00B8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326" name="Textfeld 3325">
          <a:extLst>
            <a:ext uri="{FF2B5EF4-FFF2-40B4-BE49-F238E27FC236}">
              <a16:creationId xmlns:a16="http://schemas.microsoft.com/office/drawing/2014/main" id="{44C0A7B6-467D-B115-9D40-B6AA0BD18736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327" name="Textfeld 3326">
          <a:extLst>
            <a:ext uri="{FF2B5EF4-FFF2-40B4-BE49-F238E27FC236}">
              <a16:creationId xmlns:a16="http://schemas.microsoft.com/office/drawing/2014/main" id="{BBC15A14-6E19-4034-3AC9-65A46A5F26E5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(135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328" name="Textfeld 3327">
          <a:extLst>
            <a:ext uri="{FF2B5EF4-FFF2-40B4-BE49-F238E27FC236}">
              <a16:creationId xmlns:a16="http://schemas.microsoft.com/office/drawing/2014/main" id="{A25D8C84-C6D8-E95B-4588-6D1CEC6C794F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329" name="Textfeld 3328">
          <a:extLst>
            <a:ext uri="{FF2B5EF4-FFF2-40B4-BE49-F238E27FC236}">
              <a16:creationId xmlns:a16="http://schemas.microsoft.com/office/drawing/2014/main" id="{F7445FB4-083B-556F-55E5-6C1A301140DB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330" name="Textfeld 3329">
          <a:extLst>
            <a:ext uri="{FF2B5EF4-FFF2-40B4-BE49-F238E27FC236}">
              <a16:creationId xmlns:a16="http://schemas.microsoft.com/office/drawing/2014/main" id="{8594D8F5-9B9B-461C-D072-319EBD338C2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331" name="Textfeld 3330">
          <a:extLst>
            <a:ext uri="{FF2B5EF4-FFF2-40B4-BE49-F238E27FC236}">
              <a16:creationId xmlns:a16="http://schemas.microsoft.com/office/drawing/2014/main" id="{87A12F26-BD7E-5367-96D7-A9294984485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332" name="Abgerundetes Rechteck 3331">
          <a:extLst>
            <a:ext uri="{FF2B5EF4-FFF2-40B4-BE49-F238E27FC236}">
              <a16:creationId xmlns:a16="http://schemas.microsoft.com/office/drawing/2014/main" id="{13AE3E5B-77B9-EC0E-A8AB-12EBD95AD0D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333" name="Textfeld 3332">
          <a:extLst>
            <a:ext uri="{FF2B5EF4-FFF2-40B4-BE49-F238E27FC236}">
              <a16:creationId xmlns:a16="http://schemas.microsoft.com/office/drawing/2014/main" id="{60A4C87A-DA15-7272-1ED0-7B9E57789D66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334" name="Textfeld 3333">
          <a:extLst>
            <a:ext uri="{FF2B5EF4-FFF2-40B4-BE49-F238E27FC236}">
              <a16:creationId xmlns:a16="http://schemas.microsoft.com/office/drawing/2014/main" id="{AB1621C7-80FE-77C8-8F3C-E0451CBD728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335" name="Textfeld 3334">
          <a:extLst>
            <a:ext uri="{FF2B5EF4-FFF2-40B4-BE49-F238E27FC236}">
              <a16:creationId xmlns:a16="http://schemas.microsoft.com/office/drawing/2014/main" id="{4D4F9F23-F8D4-C1D0-6EF2-1CBC6860EFE0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336" name="Textfeld 3335">
          <a:extLst>
            <a:ext uri="{FF2B5EF4-FFF2-40B4-BE49-F238E27FC236}">
              <a16:creationId xmlns:a16="http://schemas.microsoft.com/office/drawing/2014/main" id="{EDACF01C-AC9C-3F17-69FB-57A715F573A7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337" name="Rechteck 3336">
          <a:extLst>
            <a:ext uri="{FF2B5EF4-FFF2-40B4-BE49-F238E27FC236}">
              <a16:creationId xmlns:a16="http://schemas.microsoft.com/office/drawing/2014/main" id="{551B8E36-3C61-6C89-529B-9932D1555C18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338" name="Textfeld 3337">
          <a:extLst>
            <a:ext uri="{FF2B5EF4-FFF2-40B4-BE49-F238E27FC236}">
              <a16:creationId xmlns:a16="http://schemas.microsoft.com/office/drawing/2014/main" id="{0D733B24-6492-2D6C-A657-E1300FE66EDF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339" name="Textfeld 3338">
          <a:extLst>
            <a:ext uri="{FF2B5EF4-FFF2-40B4-BE49-F238E27FC236}">
              <a16:creationId xmlns:a16="http://schemas.microsoft.com/office/drawing/2014/main" id="{1F5208BC-97AA-1B60-75B0-317A224D383A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340" name="Textfeld 3339">
          <a:extLst>
            <a:ext uri="{FF2B5EF4-FFF2-40B4-BE49-F238E27FC236}">
              <a16:creationId xmlns:a16="http://schemas.microsoft.com/office/drawing/2014/main" id="{E8C5ADFC-9A32-F173-726C-2A960ABE18C0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341" name="Textfeld 3340">
          <a:extLst>
            <a:ext uri="{FF2B5EF4-FFF2-40B4-BE49-F238E27FC236}">
              <a16:creationId xmlns:a16="http://schemas.microsoft.com/office/drawing/2014/main" id="{E114CD2F-57ED-EB0F-5A41-8D1676FDEE7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342" name="Textfeld 3341">
          <a:extLst>
            <a:ext uri="{FF2B5EF4-FFF2-40B4-BE49-F238E27FC236}">
              <a16:creationId xmlns:a16="http://schemas.microsoft.com/office/drawing/2014/main" id="{82523AB2-FA1A-3A44-433C-BE4E6EEC74E0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343" name="Textfeld 3342">
          <a:extLst>
            <a:ext uri="{FF2B5EF4-FFF2-40B4-BE49-F238E27FC236}">
              <a16:creationId xmlns:a16="http://schemas.microsoft.com/office/drawing/2014/main" id="{F00AFD79-4299-A290-7347-6CDA55DBA3B8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344" name="Textfeld 3343">
          <a:extLst>
            <a:ext uri="{FF2B5EF4-FFF2-40B4-BE49-F238E27FC236}">
              <a16:creationId xmlns:a16="http://schemas.microsoft.com/office/drawing/2014/main" id="{EEB5C084-39B2-FEDF-0052-017FB36926D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345" name="Textfeld 3344">
          <a:extLst>
            <a:ext uri="{FF2B5EF4-FFF2-40B4-BE49-F238E27FC236}">
              <a16:creationId xmlns:a16="http://schemas.microsoft.com/office/drawing/2014/main" id="{FE79AFAF-6D9F-5CF7-8734-97442602E4D8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346" name="Textfeld 3345">
          <a:extLst>
            <a:ext uri="{FF2B5EF4-FFF2-40B4-BE49-F238E27FC236}">
              <a16:creationId xmlns:a16="http://schemas.microsoft.com/office/drawing/2014/main" id="{5919D732-9809-73B0-3340-95985663615E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347" name="Textfeld 3346">
          <a:extLst>
            <a:ext uri="{FF2B5EF4-FFF2-40B4-BE49-F238E27FC236}">
              <a16:creationId xmlns:a16="http://schemas.microsoft.com/office/drawing/2014/main" id="{EF9D23B6-D3B1-12E8-2768-7265D6D3E2DE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348" name="Textfeld 3347">
          <a:extLst>
            <a:ext uri="{FF2B5EF4-FFF2-40B4-BE49-F238E27FC236}">
              <a16:creationId xmlns:a16="http://schemas.microsoft.com/office/drawing/2014/main" id="{9FAC341C-C7BD-A5C4-75D0-07C08FFF9FE4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349" name="Textfeld 3348">
          <a:extLst>
            <a:ext uri="{FF2B5EF4-FFF2-40B4-BE49-F238E27FC236}">
              <a16:creationId xmlns:a16="http://schemas.microsoft.com/office/drawing/2014/main" id="{34B5421B-B23C-936C-465B-EA4495732A94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350" name="Abgerundetes Rechteck 3349">
          <a:extLst>
            <a:ext uri="{FF2B5EF4-FFF2-40B4-BE49-F238E27FC236}">
              <a16:creationId xmlns:a16="http://schemas.microsoft.com/office/drawing/2014/main" id="{F8647919-088F-1A8F-E158-43E5247C2DB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351" name="Textfeld 3350">
          <a:extLst>
            <a:ext uri="{FF2B5EF4-FFF2-40B4-BE49-F238E27FC236}">
              <a16:creationId xmlns:a16="http://schemas.microsoft.com/office/drawing/2014/main" id="{2CAA9BDC-5B68-FBA7-01CC-165973E0394A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352" name="Textfeld 3351">
          <a:extLst>
            <a:ext uri="{FF2B5EF4-FFF2-40B4-BE49-F238E27FC236}">
              <a16:creationId xmlns:a16="http://schemas.microsoft.com/office/drawing/2014/main" id="{90A82FE9-8B9B-896B-F84D-6CE4086CC32E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353" name="Textfeld 3352">
          <a:extLst>
            <a:ext uri="{FF2B5EF4-FFF2-40B4-BE49-F238E27FC236}">
              <a16:creationId xmlns:a16="http://schemas.microsoft.com/office/drawing/2014/main" id="{631261C1-29E0-01C5-E70D-102A8C2DF01E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354" name="Textfeld 3353">
          <a:extLst>
            <a:ext uri="{FF2B5EF4-FFF2-40B4-BE49-F238E27FC236}">
              <a16:creationId xmlns:a16="http://schemas.microsoft.com/office/drawing/2014/main" id="{979329C2-120E-769B-7B7F-15AF846C26B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355" name="Textfeld 3354">
          <a:extLst>
            <a:ext uri="{FF2B5EF4-FFF2-40B4-BE49-F238E27FC236}">
              <a16:creationId xmlns:a16="http://schemas.microsoft.com/office/drawing/2014/main" id="{12070B85-9484-F104-5C14-4B6F6261F25F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356" name="Textfeld 3355">
          <a:extLst>
            <a:ext uri="{FF2B5EF4-FFF2-40B4-BE49-F238E27FC236}">
              <a16:creationId xmlns:a16="http://schemas.microsoft.com/office/drawing/2014/main" id="{C269A46C-D71C-54B7-6B45-665751AA63C0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357" name="Rechteck 3356">
          <a:extLst>
            <a:ext uri="{FF2B5EF4-FFF2-40B4-BE49-F238E27FC236}">
              <a16:creationId xmlns:a16="http://schemas.microsoft.com/office/drawing/2014/main" id="{77251F01-F880-7D78-742D-762D3ED29812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358" name="Textfeld 3357">
          <a:extLst>
            <a:ext uri="{FF2B5EF4-FFF2-40B4-BE49-F238E27FC236}">
              <a16:creationId xmlns:a16="http://schemas.microsoft.com/office/drawing/2014/main" id="{926CBF43-4415-9806-C81C-7A4C64A595F6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359" name="Textfeld 3358">
          <a:extLst>
            <a:ext uri="{FF2B5EF4-FFF2-40B4-BE49-F238E27FC236}">
              <a16:creationId xmlns:a16="http://schemas.microsoft.com/office/drawing/2014/main" id="{8382F30D-3CCA-F61B-46EC-4442D3ED70D8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135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360" name="Textfeld 3359">
          <a:extLst>
            <a:ext uri="{FF2B5EF4-FFF2-40B4-BE49-F238E27FC236}">
              <a16:creationId xmlns:a16="http://schemas.microsoft.com/office/drawing/2014/main" id="{7CB6DEED-21B4-954A-A053-19040C4DAE2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361" name="Textfeld 3360">
          <a:extLst>
            <a:ext uri="{FF2B5EF4-FFF2-40B4-BE49-F238E27FC236}">
              <a16:creationId xmlns:a16="http://schemas.microsoft.com/office/drawing/2014/main" id="{882E0CD1-B9E5-D4A2-1C5D-0B029DC0791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362" name="Textfeld 3361">
          <a:extLst>
            <a:ext uri="{FF2B5EF4-FFF2-40B4-BE49-F238E27FC236}">
              <a16:creationId xmlns:a16="http://schemas.microsoft.com/office/drawing/2014/main" id="{C09F6E5E-02FD-5853-041C-41948580CA4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14,1%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363" name="Textfeld 3362">
          <a:extLst>
            <a:ext uri="{FF2B5EF4-FFF2-40B4-BE49-F238E27FC236}">
              <a16:creationId xmlns:a16="http://schemas.microsoft.com/office/drawing/2014/main" id="{5F863E72-E50D-5808-B00D-8453919400D2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364" name="Textfeld 3363">
          <a:extLst>
            <a:ext uri="{FF2B5EF4-FFF2-40B4-BE49-F238E27FC236}">
              <a16:creationId xmlns:a16="http://schemas.microsoft.com/office/drawing/2014/main" id="{28543DB2-AAE0-23A3-D757-53FC212D81B0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365" name="Textfeld 3364">
          <a:extLst>
            <a:ext uri="{FF2B5EF4-FFF2-40B4-BE49-F238E27FC236}">
              <a16:creationId xmlns:a16="http://schemas.microsoft.com/office/drawing/2014/main" id="{E6C27AC4-CE5E-4120-F913-060B4418317C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366" name="Textfeld 3365">
          <a:extLst>
            <a:ext uri="{FF2B5EF4-FFF2-40B4-BE49-F238E27FC236}">
              <a16:creationId xmlns:a16="http://schemas.microsoft.com/office/drawing/2014/main" id="{7F622662-0E08-DF10-EA85-DD17F5B0C46C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367" name="Textfeld 3366">
          <a:extLst>
            <a:ext uri="{FF2B5EF4-FFF2-40B4-BE49-F238E27FC236}">
              <a16:creationId xmlns:a16="http://schemas.microsoft.com/office/drawing/2014/main" id="{3EE516A2-B3DB-BC0D-8D0E-73CFA644CE1C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368" name="Abgerundetes Rechteck 3367">
          <a:extLst>
            <a:ext uri="{FF2B5EF4-FFF2-40B4-BE49-F238E27FC236}">
              <a16:creationId xmlns:a16="http://schemas.microsoft.com/office/drawing/2014/main" id="{BA89285D-F705-1239-C355-89C5F3DC775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369" name="Textfeld 3368">
          <a:extLst>
            <a:ext uri="{FF2B5EF4-FFF2-40B4-BE49-F238E27FC236}">
              <a16:creationId xmlns:a16="http://schemas.microsoft.com/office/drawing/2014/main" id="{CBD297F3-FCAC-DB41-DF7C-9BC74530DB2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370" name="Textfeld 3369">
          <a:extLst>
            <a:ext uri="{FF2B5EF4-FFF2-40B4-BE49-F238E27FC236}">
              <a16:creationId xmlns:a16="http://schemas.microsoft.com/office/drawing/2014/main" id="{9CE1C6B7-565A-1794-F0F2-5D6F5581A66B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371" name="Textfeld 3370">
          <a:extLst>
            <a:ext uri="{FF2B5EF4-FFF2-40B4-BE49-F238E27FC236}">
              <a16:creationId xmlns:a16="http://schemas.microsoft.com/office/drawing/2014/main" id="{05FEE39F-F4E5-2EA0-2F14-449EDCC1665A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372" name="Textfeld 3371">
          <a:extLst>
            <a:ext uri="{FF2B5EF4-FFF2-40B4-BE49-F238E27FC236}">
              <a16:creationId xmlns:a16="http://schemas.microsoft.com/office/drawing/2014/main" id="{258CB861-802A-41CB-8FB9-8418737964EF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373" name="Rechteck 3372">
          <a:extLst>
            <a:ext uri="{FF2B5EF4-FFF2-40B4-BE49-F238E27FC236}">
              <a16:creationId xmlns:a16="http://schemas.microsoft.com/office/drawing/2014/main" id="{E45659D8-3B92-D2EC-4386-61C252DA7146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374" name="Textfeld 3373">
          <a:extLst>
            <a:ext uri="{FF2B5EF4-FFF2-40B4-BE49-F238E27FC236}">
              <a16:creationId xmlns:a16="http://schemas.microsoft.com/office/drawing/2014/main" id="{058B9339-DDFC-FC94-9409-C7E344FA4EDF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375" name="Textfeld 3374">
          <a:extLst>
            <a:ext uri="{FF2B5EF4-FFF2-40B4-BE49-F238E27FC236}">
              <a16:creationId xmlns:a16="http://schemas.microsoft.com/office/drawing/2014/main" id="{E8384C7D-2DA8-FF23-6110-90FF558987F5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376" name="Textfeld 3375">
          <a:extLst>
            <a:ext uri="{FF2B5EF4-FFF2-40B4-BE49-F238E27FC236}">
              <a16:creationId xmlns:a16="http://schemas.microsoft.com/office/drawing/2014/main" id="{5DB56697-4410-711F-3CDA-84A09FCF2101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26,5%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377" name="Textfeld 3376">
          <a:extLst>
            <a:ext uri="{FF2B5EF4-FFF2-40B4-BE49-F238E27FC236}">
              <a16:creationId xmlns:a16="http://schemas.microsoft.com/office/drawing/2014/main" id="{CEA45E19-F2EB-AFF2-619B-6AE03FDFBD43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78" name="Textfeld 3377">
          <a:extLst>
            <a:ext uri="{FF2B5EF4-FFF2-40B4-BE49-F238E27FC236}">
              <a16:creationId xmlns:a16="http://schemas.microsoft.com/office/drawing/2014/main" id="{39CE3E13-4EC4-0E08-0B7B-D65ECEDA1F49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79" name="Textfeld 3378">
          <a:extLst>
            <a:ext uri="{FF2B5EF4-FFF2-40B4-BE49-F238E27FC236}">
              <a16:creationId xmlns:a16="http://schemas.microsoft.com/office/drawing/2014/main" id="{9A39751F-5735-7D55-BA4C-99089B76A743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80" name="Textfeld 3379">
          <a:extLst>
            <a:ext uri="{FF2B5EF4-FFF2-40B4-BE49-F238E27FC236}">
              <a16:creationId xmlns:a16="http://schemas.microsoft.com/office/drawing/2014/main" id="{340189B1-7D3D-D6BE-5308-1D6E9E2395D5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81" name="Textfeld 3380">
          <a:extLst>
            <a:ext uri="{FF2B5EF4-FFF2-40B4-BE49-F238E27FC236}">
              <a16:creationId xmlns:a16="http://schemas.microsoft.com/office/drawing/2014/main" id="{AD37FCDC-DF20-8682-F400-D07CAE59E51C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82" name="Textfeld 3381">
          <a:extLst>
            <a:ext uri="{FF2B5EF4-FFF2-40B4-BE49-F238E27FC236}">
              <a16:creationId xmlns:a16="http://schemas.microsoft.com/office/drawing/2014/main" id="{44F61035-A9D9-39F2-56BA-A9A977A2FB08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83" name="Textfeld 3382">
          <a:extLst>
            <a:ext uri="{FF2B5EF4-FFF2-40B4-BE49-F238E27FC236}">
              <a16:creationId xmlns:a16="http://schemas.microsoft.com/office/drawing/2014/main" id="{4616646D-FB23-B374-5879-E285914822FE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84" name="Textfeld 3383">
          <a:extLst>
            <a:ext uri="{FF2B5EF4-FFF2-40B4-BE49-F238E27FC236}">
              <a16:creationId xmlns:a16="http://schemas.microsoft.com/office/drawing/2014/main" id="{072756C3-2A4C-300B-188B-628E66ECCEF5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85" name="Textfeld 3384">
          <a:extLst>
            <a:ext uri="{FF2B5EF4-FFF2-40B4-BE49-F238E27FC236}">
              <a16:creationId xmlns:a16="http://schemas.microsoft.com/office/drawing/2014/main" id="{79B08EA0-51BE-4671-8EEE-77F6DC5E13A9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6" name="Textfeld 3385">
          <a:extLst>
            <a:ext uri="{FF2B5EF4-FFF2-40B4-BE49-F238E27FC236}">
              <a16:creationId xmlns:a16="http://schemas.microsoft.com/office/drawing/2014/main" id="{8B98F52A-BC6D-353D-880A-005A3553F5C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87" name="Textfeld 3386">
          <a:extLst>
            <a:ext uri="{FF2B5EF4-FFF2-40B4-BE49-F238E27FC236}">
              <a16:creationId xmlns:a16="http://schemas.microsoft.com/office/drawing/2014/main" id="{032A07CB-97F5-8116-9BFA-1DA6A27E708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388" name="Textfeld 3387">
          <a:extLst>
            <a:ext uri="{FF2B5EF4-FFF2-40B4-BE49-F238E27FC236}">
              <a16:creationId xmlns:a16="http://schemas.microsoft.com/office/drawing/2014/main" id="{5E897375-F84D-129C-4801-B71E21AA05E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389" name="Textfeld 3388">
          <a:extLst>
            <a:ext uri="{FF2B5EF4-FFF2-40B4-BE49-F238E27FC236}">
              <a16:creationId xmlns:a16="http://schemas.microsoft.com/office/drawing/2014/main" id="{08FE8669-624A-C20B-6EB1-0A4BDC107B6B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390" name="Textfeld 3389">
          <a:extLst>
            <a:ext uri="{FF2B5EF4-FFF2-40B4-BE49-F238E27FC236}">
              <a16:creationId xmlns:a16="http://schemas.microsoft.com/office/drawing/2014/main" id="{E63A5DAD-C9F2-59EF-021A-5331D2E22060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391" name="Textfeld 3390">
          <a:extLst>
            <a:ext uri="{FF2B5EF4-FFF2-40B4-BE49-F238E27FC236}">
              <a16:creationId xmlns:a16="http://schemas.microsoft.com/office/drawing/2014/main" id="{BA20BE76-B539-BA89-AA05-90C4CF9FF0C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63,6%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392" name="Textfeld 3391">
          <a:extLst>
            <a:ext uri="{FF2B5EF4-FFF2-40B4-BE49-F238E27FC236}">
              <a16:creationId xmlns:a16="http://schemas.microsoft.com/office/drawing/2014/main" id="{DB5B9742-AF0C-D0E8-E50E-6B61F54D0510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393" name="Textfeld 3392">
          <a:extLst>
            <a:ext uri="{FF2B5EF4-FFF2-40B4-BE49-F238E27FC236}">
              <a16:creationId xmlns:a16="http://schemas.microsoft.com/office/drawing/2014/main" id="{9E269315-DC00-411C-6749-36439AB06A3A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151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51" totalsRowShown="0" headerRowDxfId="25" dataDxfId="24" tableBorderDxfId="23">
  <autoFilter ref="A4:T151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0">
      <calculatedColumnFormula>WENNFEHLER(SVERWEIS(Kundenliste[[#This Row],[PLZ]];PLZ[];2;0);"")</calculatedColumnFormula>
    </tableColumn>
    <tableColumn id="8" xr3:uid="{E7760CB8-FFA4-BD40-A1E5-FA188F8E5F8F}" name="Telefonnummer" dataDxfId="16"/>
    <tableColumn id="9" xr3:uid="{9FCAE85B-421F-BD43-AC3E-F3237B5E7636}" name="PG" dataDxfId="15"/>
    <tableColumn id="10" xr3:uid="{8F6A6D8A-D9F8-0744-BAE9-1D603436C155}" name="Letzter Kontakt" dataDxfId="14"/>
    <tableColumn id="11" xr3:uid="{A2045C30-1195-C943-9842-F1EEA9F34438}" name="Nächster Kontakt" dataDxfId="13"/>
    <tableColumn id="12" xr3:uid="{BE31FF99-12EB-6340-9156-6D94B1B7BE94}" name="Notizen" dataDxfId="12"/>
    <tableColumn id="13" xr3:uid="{FFBFAA09-C96E-314F-A5B9-FE2BD7219F4A}" name="Abschluss" dataDxfId="11"/>
    <tableColumn id="14" xr3:uid="{B9F9ADBB-B5B1-B647-8307-75AE3D1353A4}" name="Abgesprungen nach" dataDxfId="10"/>
    <tableColumn id="15" xr3:uid="{90B24919-0D98-3647-ABDB-A0B14C181ED5}" name="Grund zum Absprung" dataDxfId="9"/>
    <tableColumn id="16" xr3:uid="{267654FA-B2E0-734B-AB97-DD03C87654F6}" name="Learning" dataDxfId="8"/>
    <tableColumn id="17" xr3:uid="{A70C44F0-D6C5-6344-A9CF-C1E02B1DFE3D}" name="Reklamierung Verbund:" dataDxfId="7"/>
    <tableColumn id="18" xr3:uid="{824EBA94-D625-2D4A-B97B-11B1F32437CE}" name="Spend" dataDxfId="6"/>
    <tableColumn id="19" xr3:uid="{A4FDE41C-A509-264E-A5C5-C323A23EE97A}" name="Leadtyp" dataDxfId="5"/>
    <tableColumn id="20" xr3:uid="{2C95D6EB-A8E2-184E-8C6D-F57B552CE877}" name="ID" dataDxfId="4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3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559"/>
  <sheetViews>
    <sheetView showGridLines="0" tabSelected="1" zoomScale="120" zoomScaleNormal="120" workbookViewId="0">
      <pane xSplit="4" ySplit="4" topLeftCell="E97" activePane="bottomRight" state="frozen"/>
      <selection pane="topRight" activeCell="E1" sqref="E1"/>
      <selection pane="bottomLeft" activeCell="A2" sqref="A2"/>
      <selection pane="bottomRight" activeCell="B132" sqref="B132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1">
        <v>46070.465277777781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4" t="s">
        <v>5</v>
      </c>
      <c r="G4" s="54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tr">
        <f>WENNFEHLER(SVERWEIS(Kundenliste[[#This Row],[PLZ]];PLZ[];2;0);"")</f>
        <v/>
      </c>
      <c r="H5" s="32" t="s">
        <v>214</v>
      </c>
      <c r="I5" s="57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tr">
        <f>WENNFEHLER(SVERWEIS(Kundenliste[[#This Row],[PLZ]];PLZ[];2;0);"")</f>
        <v>Bruck/Oberbayern</v>
      </c>
      <c r="H6" s="28" t="s">
        <v>47</v>
      </c>
      <c r="I6" s="59">
        <v>3</v>
      </c>
      <c r="J6" s="63">
        <v>46024</v>
      </c>
      <c r="K6" s="36"/>
      <c r="L6" s="65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tr">
        <f>WENNFEHLER(SVERWEIS(Kundenliste[[#This Row],[PLZ]];PLZ[];2;0);"")</f>
        <v>Erding</v>
      </c>
      <c r="H7" s="28" t="s">
        <v>58</v>
      </c>
      <c r="I7" s="57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tr">
        <f>WENNFEHLER(SVERWEIS(Kundenliste[[#This Row],[PLZ]];PLZ[];2;0);"")</f>
        <v>Hallbergmoos</v>
      </c>
      <c r="H8" s="28" t="s">
        <v>162</v>
      </c>
      <c r="I8" s="57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tr">
        <f>WENNFEHLER(SVERWEIS(Kundenliste[[#This Row],[PLZ]];PLZ[];2;0);"")</f>
        <v>Landshut</v>
      </c>
      <c r="H9" s="28" t="s">
        <v>26</v>
      </c>
      <c r="I9" s="57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tr">
        <f>WENNFEHLER(SVERWEIS(Kundenliste[[#This Row],[PLZ]];PLZ[];2;0);"")</f>
        <v>Eching/Niederbayern</v>
      </c>
      <c r="H10" s="28" t="s">
        <v>97</v>
      </c>
      <c r="I10" s="59">
        <v>2</v>
      </c>
      <c r="J10" s="63">
        <v>46031</v>
      </c>
      <c r="K10" s="64"/>
      <c r="L10" s="65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tr">
        <f>WENNFEHLER(SVERWEIS(Kundenliste[[#This Row],[PLZ]];PLZ[];2;0);"")</f>
        <v>München</v>
      </c>
      <c r="H11" s="28" t="s">
        <v>125</v>
      </c>
      <c r="I11" s="57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tr">
        <f>WENNFEHLER(SVERWEIS(Kundenliste[[#This Row],[PLZ]];PLZ[];2;0);"")</f>
        <v>Wartenberg/Oberbayern</v>
      </c>
      <c r="H12" s="28" t="s">
        <v>206</v>
      </c>
      <c r="I12" s="57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tr">
        <f>WENNFEHLER(SVERWEIS(Kundenliste[[#This Row],[PLZ]];PLZ[];2;0);"")</f>
        <v>Pliening</v>
      </c>
      <c r="H13" s="28" t="s">
        <v>114</v>
      </c>
      <c r="I13" s="57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tr">
        <f>WENNFEHLER(SVERWEIS(Kundenliste[[#This Row],[PLZ]];PLZ[];2;0);"")</f>
        <v>Erding</v>
      </c>
      <c r="H14" s="28" t="s">
        <v>150</v>
      </c>
      <c r="I14" s="57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tr">
        <f>WENNFEHLER(SVERWEIS(Kundenliste[[#This Row],[PLZ]];PLZ[];2;0);"")</f>
        <v>Hohenbrunn</v>
      </c>
      <c r="H15" s="28" t="s">
        <v>73</v>
      </c>
      <c r="I15" s="57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tr">
        <f>WENNFEHLER(SVERWEIS(Kundenliste[[#This Row],[PLZ]];PLZ[];2;0);"")</f>
        <v>Landshut</v>
      </c>
      <c r="H16" s="28" t="s">
        <v>154</v>
      </c>
      <c r="I16" s="57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tr">
        <f>WENNFEHLER(SVERWEIS(Kundenliste[[#This Row],[PLZ]];PLZ[];2;0);"")</f>
        <v>Poing</v>
      </c>
      <c r="H17" s="28" t="s">
        <v>39</v>
      </c>
      <c r="I17" s="57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tr">
        <f>WENNFEHLER(SVERWEIS(Kundenliste[[#This Row],[PLZ]];PLZ[];2;0);"")</f>
        <v>Neufahrn b. Freising</v>
      </c>
      <c r="H18" s="28" t="s">
        <v>143</v>
      </c>
      <c r="I18" s="57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tr">
        <f>WENNFEHLER(SVERWEIS(Kundenliste[[#This Row],[PLZ]];PLZ[];2;0);"")</f>
        <v>München</v>
      </c>
      <c r="H19" s="28" t="s">
        <v>173</v>
      </c>
      <c r="I19" s="57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tr">
        <f>WENNFEHLER(SVERWEIS(Kundenliste[[#This Row],[PLZ]];PLZ[];2;0);"")</f>
        <v/>
      </c>
      <c r="H20" s="28"/>
      <c r="I20" s="57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tr">
        <f>WENNFEHLER(SVERWEIS(Kundenliste[[#This Row],[PLZ]];PLZ[];2;0);"")</f>
        <v>Landshut</v>
      </c>
      <c r="H21" s="28" t="s">
        <v>141</v>
      </c>
      <c r="I21" s="57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tr">
        <f>WENNFEHLER(SVERWEIS(Kundenliste[[#This Row],[PLZ]];PLZ[];2;0);"")</f>
        <v>Unterhaching</v>
      </c>
      <c r="H22" s="28" t="s">
        <v>147</v>
      </c>
      <c r="I22" s="57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tr">
        <f>WENNFEHLER(SVERWEIS(Kundenliste[[#This Row],[PLZ]];PLZ[];2;0);"")</f>
        <v>Wang</v>
      </c>
      <c r="H23" s="28" t="s">
        <v>167</v>
      </c>
      <c r="I23" s="57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tr">
        <f>WENNFEHLER(SVERWEIS(Kundenliste[[#This Row],[PLZ]];PLZ[];2;0);"")</f>
        <v>Wang</v>
      </c>
      <c r="H24" s="28" t="s">
        <v>167</v>
      </c>
      <c r="I24" s="57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tr">
        <f>WENNFEHLER(SVERWEIS(Kundenliste[[#This Row],[PLZ]];PLZ[];2;0);"")</f>
        <v>Hallbergmoos</v>
      </c>
      <c r="H25" s="28" t="s">
        <v>178</v>
      </c>
      <c r="I25" s="59">
        <v>3</v>
      </c>
      <c r="J25" s="63">
        <v>46031</v>
      </c>
      <c r="K25" s="36"/>
      <c r="L25" s="65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tr">
        <f>WENNFEHLER(SVERWEIS(Kundenliste[[#This Row],[PLZ]];PLZ[];2;0);"")</f>
        <v>Landshut</v>
      </c>
      <c r="H26" s="28" t="s">
        <v>204</v>
      </c>
      <c r="I26" s="57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tr">
        <f>WENNFEHLER(SVERWEIS(Kundenliste[[#This Row],[PLZ]];PLZ[];2;0);"")</f>
        <v>München</v>
      </c>
      <c r="H27" s="28" t="s">
        <v>222</v>
      </c>
      <c r="I27" s="57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tr">
        <f>WENNFEHLER(SVERWEIS(Kundenliste[[#This Row],[PLZ]];PLZ[];2;0);"")</f>
        <v>Poing</v>
      </c>
      <c r="H28" s="28" t="s">
        <v>102</v>
      </c>
      <c r="I28" s="57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tr">
        <f>WENNFEHLER(SVERWEIS(Kundenliste[[#This Row],[PLZ]];PLZ[];2;0);"")</f>
        <v>München</v>
      </c>
      <c r="H29" s="26" t="s">
        <v>156</v>
      </c>
      <c r="I29" s="57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tr">
        <f>WENNFEHLER(SVERWEIS(Kundenliste[[#This Row],[PLZ]];PLZ[];2;0);"")</f>
        <v>Vaterstetten</v>
      </c>
      <c r="H30" s="28" t="s">
        <v>164</v>
      </c>
      <c r="I30" s="57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tr">
        <f>WENNFEHLER(SVERWEIS(Kundenliste[[#This Row],[PLZ]];PLZ[];2;0);"")</f>
        <v>Landshut</v>
      </c>
      <c r="H31" s="28" t="s">
        <v>7140</v>
      </c>
      <c r="I31" s="57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tr">
        <f>WENNFEHLER(SVERWEIS(Kundenliste[[#This Row],[PLZ]];PLZ[];2;0);"")</f>
        <v>München</v>
      </c>
      <c r="H32" s="28" t="s">
        <v>219</v>
      </c>
      <c r="I32" s="57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tr">
        <f>WENNFEHLER(SVERWEIS(Kundenliste[[#This Row],[PLZ]];PLZ[];2;0);"")</f>
        <v>Freising</v>
      </c>
      <c r="H33" s="28" t="s">
        <v>34</v>
      </c>
      <c r="I33" s="59">
        <v>1</v>
      </c>
      <c r="J33" s="63">
        <v>46037</v>
      </c>
      <c r="K33" s="36" t="s">
        <v>35</v>
      </c>
      <c r="L33" s="65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tr">
        <f>WENNFEHLER(SVERWEIS(Kundenliste[[#This Row],[PLZ]];PLZ[];2;0);"")</f>
        <v>Freising</v>
      </c>
      <c r="H34" s="28" t="s">
        <v>65</v>
      </c>
      <c r="I34" s="57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tr">
        <f>WENNFEHLER(SVERWEIS(Kundenliste[[#This Row],[PLZ]];PLZ[];2;0);"")</f>
        <v>Garching b. München</v>
      </c>
      <c r="H35" s="28" t="s">
        <v>68</v>
      </c>
      <c r="I35" s="57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tr">
        <f>WENNFEHLER(SVERWEIS(Kundenliste[[#This Row],[PLZ]];PLZ[];2;0);"")</f>
        <v>Unterföhring</v>
      </c>
      <c r="H36" s="28" t="s">
        <v>118</v>
      </c>
      <c r="I36" s="57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tr">
        <f>WENNFEHLER(SVERWEIS(Kundenliste[[#This Row],[PLZ]];PLZ[];2;0);"")</f>
        <v>Landshut</v>
      </c>
      <c r="H37" s="28" t="s">
        <v>217</v>
      </c>
      <c r="I37" s="57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tr">
        <f>WENNFEHLER(SVERWEIS(Kundenliste[[#This Row],[PLZ]];PLZ[];2;0);"")</f>
        <v>Hohenbrunn</v>
      </c>
      <c r="H38" s="28" t="s">
        <v>92</v>
      </c>
      <c r="I38" s="57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tr">
        <f>WENNFEHLER(SVERWEIS(Kundenliste[[#This Row],[PLZ]];PLZ[];2;0);"")</f>
        <v>Pliening</v>
      </c>
      <c r="H39" s="28" t="s">
        <v>209</v>
      </c>
      <c r="I39" s="57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tr">
        <f>WENNFEHLER(SVERWEIS(Kundenliste[[#This Row],[PLZ]];PLZ[];2;0);"")</f>
        <v>Ebersberg</v>
      </c>
      <c r="H40" s="28" t="s">
        <v>137</v>
      </c>
      <c r="I40" s="57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tr">
        <f>WENNFEHLER(SVERWEIS(Kundenliste[[#This Row],[PLZ]];PLZ[];2;0);"")</f>
        <v>München</v>
      </c>
      <c r="H41" s="28" t="s">
        <v>175</v>
      </c>
      <c r="I41" s="57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tr">
        <f>WENNFEHLER(SVERWEIS(Kundenliste[[#This Row],[PLZ]];PLZ[];2;0);"")</f>
        <v>München</v>
      </c>
      <c r="H42" s="28" t="s">
        <v>189</v>
      </c>
      <c r="I42" s="57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tr">
        <f>WENNFEHLER(SVERWEIS(Kundenliste[[#This Row],[PLZ]];PLZ[];2;0);"")</f>
        <v>Landshut</v>
      </c>
      <c r="H43" s="28" t="s">
        <v>121</v>
      </c>
      <c r="I43" s="57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tr">
        <f>WENNFEHLER(SVERWEIS(Kundenliste[[#This Row],[PLZ]];PLZ[];2;0);"")</f>
        <v>Taufkirchen/Vils</v>
      </c>
      <c r="H44" s="28" t="s">
        <v>129</v>
      </c>
      <c r="I44" s="57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tr">
        <f>WENNFEHLER(SVERWEIS(Kundenliste[[#This Row],[PLZ]];PLZ[];2;0);"")</f>
        <v>Taufkirchen/Vils</v>
      </c>
      <c r="H45" s="28" t="s">
        <v>132</v>
      </c>
      <c r="I45" s="57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tr">
        <f>WENNFEHLER(SVERWEIS(Kundenliste[[#This Row],[PLZ]];PLZ[];2;0);"")</f>
        <v>Freising</v>
      </c>
      <c r="H46" s="28" t="s">
        <v>159</v>
      </c>
      <c r="I46" s="57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tr">
        <f>WENNFEHLER(SVERWEIS(Kundenliste[[#This Row],[PLZ]];PLZ[];2;0);"")</f>
        <v>Buch a. Erlbach</v>
      </c>
      <c r="H47" s="28" t="s">
        <v>197</v>
      </c>
      <c r="I47" s="57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tr">
        <f>WENNFEHLER(SVERWEIS(Kundenliste[[#This Row],[PLZ]];PLZ[];2;0);"")</f>
        <v>Bruck/Oberbayern</v>
      </c>
      <c r="H48" s="28" t="s">
        <v>127</v>
      </c>
      <c r="I48" s="57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tr">
        <f>WENNFEHLER(SVERWEIS(Kundenliste[[#This Row],[PLZ]];PLZ[];2;0);"")</f>
        <v>Landshut</v>
      </c>
      <c r="H49" s="28" t="s">
        <v>182</v>
      </c>
      <c r="I49" s="57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tr">
        <f>WENNFEHLER(SVERWEIS(Kundenliste[[#This Row],[PLZ]];PLZ[];2;0);"")</f>
        <v>Ebersberg</v>
      </c>
      <c r="H50" s="28" t="s">
        <v>186</v>
      </c>
      <c r="I50" s="57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tr">
        <f>WENNFEHLER(SVERWEIS(Kundenliste[[#This Row],[PLZ]];PLZ[];2;0);"")</f>
        <v>Baiern</v>
      </c>
      <c r="H51" s="28" t="s">
        <v>201</v>
      </c>
      <c r="I51" s="57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tr">
        <f>WENNFEHLER(SVERWEIS(Kundenliste[[#This Row],[PLZ]];PLZ[];2;0);"")</f>
        <v>Nandlstadt</v>
      </c>
      <c r="H52" s="28" t="s">
        <v>76</v>
      </c>
      <c r="I52" s="57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tr">
        <f>WENNFEHLER(SVERWEIS(Kundenliste[[#This Row],[PLZ]];PLZ[];2;0);"")</f>
        <v>Nandlstadt</v>
      </c>
      <c r="H53" s="28" t="s">
        <v>82</v>
      </c>
      <c r="I53" s="57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tr">
        <f>WENNFEHLER(SVERWEIS(Kundenliste[[#This Row],[PLZ]];PLZ[];2;0);"")</f>
        <v>Dorfen</v>
      </c>
      <c r="H54" s="28" t="s">
        <v>85</v>
      </c>
      <c r="I54" s="57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tr">
        <f>WENNFEHLER(SVERWEIS(Kundenliste[[#This Row],[PLZ]];PLZ[];2;0);"")</f>
        <v>Dorfen</v>
      </c>
      <c r="H55" s="26" t="s">
        <v>85</v>
      </c>
      <c r="I55" s="57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tr">
        <f>WENNFEHLER(SVERWEIS(Kundenliste[[#This Row],[PLZ]];PLZ[];2;0);"")</f>
        <v>Freising</v>
      </c>
      <c r="H56" s="28" t="s">
        <v>44</v>
      </c>
      <c r="I56" s="57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tr">
        <f>WENNFEHLER(SVERWEIS(Kundenliste[[#This Row],[PLZ]];PLZ[];2;0);"")</f>
        <v>Wang</v>
      </c>
      <c r="H57" s="28" t="s">
        <v>78</v>
      </c>
      <c r="I57" s="57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tr">
        <f>WENNFEHLER(SVERWEIS(Kundenliste[[#This Row],[PLZ]];PLZ[];2;0);"")</f>
        <v>Oberpframmern</v>
      </c>
      <c r="H58" s="32" t="s">
        <v>80</v>
      </c>
      <c r="I58" s="57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tr">
        <f>WENNFEHLER(SVERWEIS(Kundenliste[[#This Row],[PLZ]];PLZ[];2;0);"")</f>
        <v>Neufahrn b. Freising</v>
      </c>
      <c r="H59" s="28" t="s">
        <v>194</v>
      </c>
      <c r="I59" s="57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tr">
        <f>WENNFEHLER(SVERWEIS(Kundenliste[[#This Row],[PLZ]];PLZ[];2;0);"")</f>
        <v/>
      </c>
      <c r="H60" s="28" t="s">
        <v>21</v>
      </c>
      <c r="I60" s="57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tr">
        <f>WENNFEHLER(SVERWEIS(Kundenliste[[#This Row],[PLZ]];PLZ[];2;0);"")</f>
        <v>München</v>
      </c>
      <c r="H61" s="28" t="s">
        <v>100</v>
      </c>
      <c r="I61" s="57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tr">
        <f>WENNFEHLER(SVERWEIS(Kundenliste[[#This Row],[PLZ]];PLZ[];2;0);"")</f>
        <v>Geisenhausen</v>
      </c>
      <c r="H62" s="28" t="s">
        <v>51</v>
      </c>
      <c r="I62" s="57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tr">
        <f>WENNFEHLER(SVERWEIS(Kundenliste[[#This Row],[PLZ]];PLZ[];2;0);"")</f>
        <v>Schechen</v>
      </c>
      <c r="H63" s="28" t="s">
        <v>54</v>
      </c>
      <c r="I63" s="59">
        <v>2</v>
      </c>
      <c r="J63" s="63">
        <v>46044</v>
      </c>
      <c r="K63" s="64"/>
      <c r="L63" s="65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tr">
        <f>WENNFEHLER(SVERWEIS(Kundenliste[[#This Row],[PLZ]];PLZ[];2;0);"")</f>
        <v>Hörgertshausen</v>
      </c>
      <c r="H64" s="28" t="s">
        <v>110</v>
      </c>
      <c r="I64" s="57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tr">
        <f>WENNFEHLER(SVERWEIS(Kundenliste[[#This Row],[PLZ]];PLZ[];2;0);"")</f>
        <v/>
      </c>
      <c r="H65" s="28" t="s">
        <v>191</v>
      </c>
      <c r="I65" s="57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tr">
        <f>WENNFEHLER(SVERWEIS(Kundenliste[[#This Row],[PLZ]];PLZ[];2;0);"")</f>
        <v/>
      </c>
      <c r="H66" s="28" t="s">
        <v>199</v>
      </c>
      <c r="I66" s="59">
        <v>1</v>
      </c>
      <c r="J66" s="63">
        <v>46050</v>
      </c>
      <c r="K66" s="64"/>
      <c r="L66" s="65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tr">
        <f>WENNFEHLER(SVERWEIS(Kundenliste[[#This Row],[PLZ]];PLZ[];2;0);"")</f>
        <v>München</v>
      </c>
      <c r="H67" s="28" t="s">
        <v>225</v>
      </c>
      <c r="I67" s="57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tr">
        <f>WENNFEHLER(SVERWEIS(Kundenliste[[#This Row],[PLZ]];PLZ[];2;0);"")</f>
        <v>Landshut</v>
      </c>
      <c r="H68" s="28" t="s">
        <v>7147</v>
      </c>
      <c r="I68" s="57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tr">
        <f>WENNFEHLER(SVERWEIS(Kundenliste[[#This Row],[PLZ]];PLZ[];2;0);"")</f>
        <v>Landshut</v>
      </c>
      <c r="H69" s="28" t="s">
        <v>7148</v>
      </c>
      <c r="I69" s="57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tr">
        <f>WENNFEHLER(SVERWEIS(Kundenliste[[#This Row],[PLZ]];PLZ[];2;0);"")</f>
        <v>München</v>
      </c>
      <c r="H70" s="28" t="s">
        <v>7150</v>
      </c>
      <c r="I70" s="57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tr">
        <f>WENNFEHLER(SVERWEIS(Kundenliste[[#This Row],[PLZ]];PLZ[];2;0);"")</f>
        <v>Landshut</v>
      </c>
      <c r="H71" s="28" t="s">
        <v>7152</v>
      </c>
      <c r="I71" s="57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tr">
        <f>WENNFEHLER(SVERWEIS(Kundenliste[[#This Row],[PLZ]];PLZ[];2;0);"")</f>
        <v/>
      </c>
      <c r="H72" s="28" t="s">
        <v>7155</v>
      </c>
      <c r="I72" s="57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tr">
        <f>WENNFEHLER(SVERWEIS(Kundenliste[[#This Row],[PLZ]];PLZ[];2;0);"")</f>
        <v>München</v>
      </c>
      <c r="H73" s="28" t="s">
        <v>7157</v>
      </c>
      <c r="I73" s="57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tr">
        <f>WENNFEHLER(SVERWEIS(Kundenliste[[#This Row],[PLZ]];PLZ[];2;0);"")</f>
        <v>Hohenbrunn</v>
      </c>
      <c r="H74" s="28" t="s">
        <v>7158</v>
      </c>
      <c r="I74" s="57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tr">
        <f>WENNFEHLER(SVERWEIS(Kundenliste[[#This Row],[PLZ]];PLZ[];2;0);"")</f>
        <v>Schweitenkirchen</v>
      </c>
      <c r="H75" s="28" t="s">
        <v>7159</v>
      </c>
      <c r="I75" s="57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tr">
        <f>WENNFEHLER(SVERWEIS(Kundenliste[[#This Row],[PLZ]];PLZ[];2;0);"")</f>
        <v>München</v>
      </c>
      <c r="H76" s="28" t="s">
        <v>7160</v>
      </c>
      <c r="I76" s="57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tr">
        <f>WENNFEHLER(SVERWEIS(Kundenliste[[#This Row],[PLZ]];PLZ[];2;0);"")</f>
        <v>Zolling</v>
      </c>
      <c r="H77" s="28" t="s">
        <v>7163</v>
      </c>
      <c r="I77" s="57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tr">
        <f>WENNFEHLER(SVERWEIS(Kundenliste[[#This Row],[PLZ]];PLZ[];2;0);"")</f>
        <v>Garching b. München</v>
      </c>
      <c r="H78" s="28" t="s">
        <v>7164</v>
      </c>
      <c r="I78" s="57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tr">
        <f>WENNFEHLER(SVERWEIS(Kundenliste[[#This Row],[PLZ]];PLZ[];2;0);"")</f>
        <v>Freising</v>
      </c>
      <c r="H79" s="28" t="s">
        <v>7166</v>
      </c>
      <c r="I79" s="57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tr">
        <f>WENNFEHLER(SVERWEIS(Kundenliste[[#This Row],[PLZ]];PLZ[];2;0);"")</f>
        <v>Neufahrn b. Freising</v>
      </c>
      <c r="H80" s="28" t="s">
        <v>7168</v>
      </c>
      <c r="I80" s="57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tr">
        <f>WENNFEHLER(SVERWEIS(Kundenliste[[#This Row],[PLZ]];PLZ[];2;0);"")</f>
        <v>Hohenbrunn</v>
      </c>
      <c r="H81" s="28" t="s">
        <v>7158</v>
      </c>
      <c r="I81" s="57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tr">
        <f>WENNFEHLER(SVERWEIS(Kundenliste[[#This Row],[PLZ]];PLZ[];2;0);"")</f>
        <v>Zorneding</v>
      </c>
      <c r="H82" s="28" t="s">
        <v>7169</v>
      </c>
      <c r="I82" s="57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tr">
        <f>WENNFEHLER(SVERWEIS(Kundenliste[[#This Row],[PLZ]];PLZ[];2;0);"")</f>
        <v>München</v>
      </c>
      <c r="H83" s="28" t="s">
        <v>7170</v>
      </c>
      <c r="I83" s="57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tr">
        <f>WENNFEHLER(SVERWEIS(Kundenliste[[#This Row],[PLZ]];PLZ[];2;0);"")</f>
        <v>München</v>
      </c>
      <c r="H84" s="28" t="s">
        <v>7171</v>
      </c>
      <c r="I84" s="57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tr">
        <f>WENNFEHLER(SVERWEIS(Kundenliste[[#This Row],[PLZ]];PLZ[];2;0);"")</f>
        <v>Zolling</v>
      </c>
      <c r="H85" s="28" t="s">
        <v>7173</v>
      </c>
      <c r="I85" s="57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tr">
        <f>WENNFEHLER(SVERWEIS(Kundenliste[[#This Row],[PLZ]];PLZ[];2;0);"")</f>
        <v>Frauenneuharting</v>
      </c>
      <c r="H86" s="28" t="s">
        <v>7174</v>
      </c>
      <c r="I86" s="57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tr">
        <f>WENNFEHLER(SVERWEIS(Kundenliste[[#This Row],[PLZ]];PLZ[];2;0);"")</f>
        <v>Wang</v>
      </c>
      <c r="H87" s="28" t="s">
        <v>7175</v>
      </c>
      <c r="I87" s="57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tr">
        <f>WENNFEHLER(SVERWEIS(Kundenliste[[#This Row],[PLZ]];PLZ[];2;0);"")</f>
        <v>München</v>
      </c>
      <c r="H88" s="28" t="s">
        <v>7176</v>
      </c>
      <c r="I88" s="57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tr">
        <f>WENNFEHLER(SVERWEIS(Kundenliste[[#This Row],[PLZ]];PLZ[];2;0);"")</f>
        <v>München</v>
      </c>
      <c r="H89" s="28" t="s">
        <v>7178</v>
      </c>
      <c r="I89" s="57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tr">
        <f>WENNFEHLER(SVERWEIS(Kundenliste[[#This Row],[PLZ]];PLZ[];2;0);"")</f>
        <v/>
      </c>
      <c r="H90" s="28"/>
      <c r="I90" s="57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tr">
        <f>WENNFEHLER(SVERWEIS(Kundenliste[[#This Row],[PLZ]];PLZ[];2;0);"")</f>
        <v>Landshut</v>
      </c>
      <c r="H91" s="28" t="s">
        <v>7179</v>
      </c>
      <c r="I91" s="57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tr">
        <f>WENNFEHLER(SVERWEIS(Kundenliste[[#This Row],[PLZ]];PLZ[];2;0);"")</f>
        <v>Landshut</v>
      </c>
      <c r="H92" s="28" t="s">
        <v>7180</v>
      </c>
      <c r="I92" s="57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tr">
        <f>WENNFEHLER(SVERWEIS(Kundenliste[[#This Row],[PLZ]];PLZ[];2;0);"")</f>
        <v>Neufahrn b. Freising</v>
      </c>
      <c r="H93" s="28"/>
      <c r="I93" s="57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tr">
        <f>WENNFEHLER(SVERWEIS(Kundenliste[[#This Row],[PLZ]];PLZ[];2;0);"")</f>
        <v>Landshut</v>
      </c>
      <c r="H94" s="28" t="s">
        <v>7182</v>
      </c>
      <c r="I94" s="57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tr">
        <f>WENNFEHLER(SVERWEIS(Kundenliste[[#This Row],[PLZ]];PLZ[];2;0);"")</f>
        <v>Landshut</v>
      </c>
      <c r="H95" s="28" t="s">
        <v>7183</v>
      </c>
      <c r="I95" s="57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tr">
        <f>WENNFEHLER(SVERWEIS(Kundenliste[[#This Row],[PLZ]];PLZ[];2;0);"")</f>
        <v>Geisenhausen</v>
      </c>
      <c r="H96" s="28" t="s">
        <v>7186</v>
      </c>
      <c r="I96" s="57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tr">
        <f>WENNFEHLER(SVERWEIS(Kundenliste[[#This Row],[PLZ]];PLZ[];2;0);"")</f>
        <v>Landshut</v>
      </c>
      <c r="H97" s="28" t="s">
        <v>7188</v>
      </c>
      <c r="I97" s="57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tr">
        <f>WENNFEHLER(SVERWEIS(Kundenliste[[#This Row],[PLZ]];PLZ[];2;0);"")</f>
        <v>München</v>
      </c>
      <c r="H98" s="28" t="s">
        <v>7190</v>
      </c>
      <c r="I98" s="57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tr">
        <f>WENNFEHLER(SVERWEIS(Kundenliste[[#This Row],[PLZ]];PLZ[];2;0);"")</f>
        <v>München</v>
      </c>
      <c r="H99" s="28" t="s">
        <v>7192</v>
      </c>
      <c r="I99" s="57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tr">
        <f>WENNFEHLER(SVERWEIS(Kundenliste[[#This Row],[PLZ]];PLZ[];2;0);"")</f>
        <v>Langenbach Kr. Freising</v>
      </c>
      <c r="H100" s="28" t="s">
        <v>7193</v>
      </c>
      <c r="I100" s="57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tr">
        <f>WENNFEHLER(SVERWEIS(Kundenliste[[#This Row],[PLZ]];PLZ[];2;0);"")</f>
        <v>München</v>
      </c>
      <c r="H101" s="28" t="s">
        <v>7195</v>
      </c>
      <c r="I101" s="57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tr">
        <f>WENNFEHLER(SVERWEIS(Kundenliste[[#This Row],[PLZ]];PLZ[];2;0);"")</f>
        <v>Vaterstetten</v>
      </c>
      <c r="H102" s="28" t="s">
        <v>7197</v>
      </c>
      <c r="I102" s="57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tr">
        <f>WENNFEHLER(SVERWEIS(Kundenliste[[#This Row],[PLZ]];PLZ[];2;0);"")</f>
        <v>Tiefenbach Kr. Landshut</v>
      </c>
      <c r="H103" s="28" t="s">
        <v>7200</v>
      </c>
      <c r="I103" s="57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tr">
        <f>WENNFEHLER(SVERWEIS(Kundenliste[[#This Row],[PLZ]];PLZ[];2;0);"")</f>
        <v>Landshut</v>
      </c>
      <c r="H104" s="28" t="s">
        <v>7203</v>
      </c>
      <c r="I104" s="57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tr">
        <f>WENNFEHLER(SVERWEIS(Kundenliste[[#This Row],[PLZ]];PLZ[];2;0);"")</f>
        <v>Landshut</v>
      </c>
      <c r="H105" s="28" t="s">
        <v>7204</v>
      </c>
      <c r="I105" s="57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tr">
        <f>WENNFEHLER(SVERWEIS(Kundenliste[[#This Row],[PLZ]];PLZ[];2;0);"")</f>
        <v>Landshut</v>
      </c>
      <c r="H106" s="28" t="s">
        <v>7205</v>
      </c>
      <c r="I106" s="57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tr">
        <f>WENNFEHLER(SVERWEIS(Kundenliste[[#This Row],[PLZ]];PLZ[];2;0);"")</f>
        <v/>
      </c>
      <c r="H107" s="28"/>
      <c r="I107" s="57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tr">
        <f>WENNFEHLER(SVERWEIS(Kundenliste[[#This Row],[PLZ]];PLZ[];2;0);"")</f>
        <v>Unterschleißheim</v>
      </c>
      <c r="H108" s="28" t="s">
        <v>7206</v>
      </c>
      <c r="I108" s="57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tr">
        <f>WENNFEHLER(SVERWEIS(Kundenliste[[#This Row],[PLZ]];PLZ[];2;0);"")</f>
        <v>Furth Kr. Landshut</v>
      </c>
      <c r="H109" s="28" t="s">
        <v>7207</v>
      </c>
      <c r="I109" s="57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tr">
        <f>WENNFEHLER(SVERWEIS(Kundenliste[[#This Row],[PLZ]];PLZ[];2;0);"")</f>
        <v>Aßling</v>
      </c>
      <c r="H110" s="28" t="s">
        <v>7208</v>
      </c>
      <c r="I110" s="57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tr">
        <f>WENNFEHLER(SVERWEIS(Kundenliste[[#This Row],[PLZ]];PLZ[];2;0);"")</f>
        <v>Freising</v>
      </c>
      <c r="H111" s="28" t="s">
        <v>7209</v>
      </c>
      <c r="I111" s="57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tr">
        <f>WENNFEHLER(SVERWEIS(Kundenliste[[#This Row],[PLZ]];PLZ[];2;0);"")</f>
        <v/>
      </c>
      <c r="H112" s="28"/>
      <c r="I112" s="57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tr">
        <f>WENNFEHLER(SVERWEIS(Kundenliste[[#This Row],[PLZ]];PLZ[];2;0);"")</f>
        <v>München</v>
      </c>
      <c r="H113" s="28" t="s">
        <v>7210</v>
      </c>
      <c r="I113" s="57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tr">
        <f>WENNFEHLER(SVERWEIS(Kundenliste[[#This Row],[PLZ]];PLZ[];2;0);"")</f>
        <v>Garching b. München</v>
      </c>
      <c r="H114" s="28" t="s">
        <v>7212</v>
      </c>
      <c r="I114" s="57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tr">
        <f>WENNFEHLER(SVERWEIS(Kundenliste[[#This Row],[PLZ]];PLZ[];2;0);"")</f>
        <v>Oberding</v>
      </c>
      <c r="H115" s="28" t="s">
        <v>7213</v>
      </c>
      <c r="I115" s="57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tr">
        <f>WENNFEHLER(SVERWEIS(Kundenliste[[#This Row],[PLZ]];PLZ[];2;0);"")</f>
        <v>Furth Kr. Landshut</v>
      </c>
      <c r="H116" s="28" t="s">
        <v>7214</v>
      </c>
      <c r="I116" s="57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tr">
        <f>WENNFEHLER(SVERWEIS(Kundenliste[[#This Row],[PLZ]];PLZ[];2;0);"")</f>
        <v>Furth Kr. Landshut</v>
      </c>
      <c r="H117" s="28" t="s">
        <v>7215</v>
      </c>
      <c r="I117" s="57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tr">
        <f>WENNFEHLER(SVERWEIS(Kundenliste[[#This Row],[PLZ]];PLZ[];2;0);"")</f>
        <v>Hallbergmoos</v>
      </c>
      <c r="H118" s="28" t="s">
        <v>7216</v>
      </c>
      <c r="I118" s="57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4" x14ac:dyDescent="0.15">
      <c r="A119" s="69">
        <v>46023</v>
      </c>
      <c r="B119" s="70" t="s">
        <v>42</v>
      </c>
      <c r="C119" s="70" t="s">
        <v>7244</v>
      </c>
      <c r="D119" s="71" t="s">
        <v>7245</v>
      </c>
      <c r="E119" s="72"/>
      <c r="F119" s="73">
        <v>80807</v>
      </c>
      <c r="G119" s="74" t="str">
        <f>WENNFEHLER(SVERWEIS(Kundenliste[[#This Row],[PLZ]];PLZ[];2;0);"")</f>
        <v>München</v>
      </c>
      <c r="H119" s="75" t="s">
        <v>7246</v>
      </c>
      <c r="I119" s="76">
        <v>2</v>
      </c>
      <c r="J119" s="77"/>
      <c r="K119" s="77"/>
      <c r="L119" s="78" t="s">
        <v>7335</v>
      </c>
      <c r="M119" s="79"/>
      <c r="N119" s="79"/>
      <c r="O119" s="79"/>
      <c r="P119" s="79"/>
      <c r="Q119" s="79"/>
      <c r="R119" s="79"/>
      <c r="S119" s="79" t="s">
        <v>7240</v>
      </c>
      <c r="T119" s="79" t="s">
        <v>7305</v>
      </c>
    </row>
    <row r="120" spans="1:25" ht="154" x14ac:dyDescent="0.15">
      <c r="A120" s="69">
        <v>46023</v>
      </c>
      <c r="B120" s="70" t="s">
        <v>42</v>
      </c>
      <c r="C120" s="70" t="s">
        <v>7244</v>
      </c>
      <c r="D120" s="71" t="s">
        <v>7247</v>
      </c>
      <c r="E120" s="72"/>
      <c r="F120" s="73">
        <v>84030</v>
      </c>
      <c r="G120" s="74" t="str">
        <f>WENNFEHLER(SVERWEIS(Kundenliste[[#This Row],[PLZ]];PLZ[];2;0);"")</f>
        <v>Landshut</v>
      </c>
      <c r="H120" s="75" t="s">
        <v>7248</v>
      </c>
      <c r="I120" s="76">
        <v>1</v>
      </c>
      <c r="J120" s="77"/>
      <c r="K120" s="77"/>
      <c r="L120" s="78" t="s">
        <v>7336</v>
      </c>
      <c r="M120" s="79"/>
      <c r="N120" s="79"/>
      <c r="O120" s="79"/>
      <c r="P120" s="79"/>
      <c r="Q120" s="79"/>
      <c r="R120" s="79"/>
      <c r="S120" s="79" t="s">
        <v>7240</v>
      </c>
      <c r="T120" s="79" t="s">
        <v>7306</v>
      </c>
    </row>
    <row r="121" spans="1:25" ht="154" x14ac:dyDescent="0.15">
      <c r="A121" s="69">
        <v>46023</v>
      </c>
      <c r="B121" s="70" t="s">
        <v>42</v>
      </c>
      <c r="C121" s="70" t="s">
        <v>7244</v>
      </c>
      <c r="D121" s="71" t="s">
        <v>7249</v>
      </c>
      <c r="E121" s="72"/>
      <c r="F121" s="73">
        <v>85635</v>
      </c>
      <c r="G121" s="74" t="str">
        <f>WENNFEHLER(SVERWEIS(Kundenliste[[#This Row],[PLZ]];PLZ[];2;0);"")</f>
        <v>Höhenkirchen-Siegertsbrunn</v>
      </c>
      <c r="H121" s="75" t="s">
        <v>7250</v>
      </c>
      <c r="I121" s="76">
        <v>1</v>
      </c>
      <c r="J121" s="77"/>
      <c r="K121" s="77"/>
      <c r="L121" s="78" t="s">
        <v>7337</v>
      </c>
      <c r="M121" s="79"/>
      <c r="N121" s="79"/>
      <c r="O121" s="79"/>
      <c r="P121" s="79"/>
      <c r="Q121" s="79"/>
      <c r="R121" s="79"/>
      <c r="S121" s="79" t="s">
        <v>7240</v>
      </c>
      <c r="T121" s="79" t="s">
        <v>7307</v>
      </c>
    </row>
    <row r="122" spans="1:25" ht="154" x14ac:dyDescent="0.15">
      <c r="A122" s="69">
        <v>46023</v>
      </c>
      <c r="B122" s="70" t="s">
        <v>42</v>
      </c>
      <c r="C122" s="70" t="s">
        <v>7244</v>
      </c>
      <c r="D122" s="71" t="s">
        <v>7251</v>
      </c>
      <c r="E122" s="72"/>
      <c r="F122" s="73">
        <v>84416</v>
      </c>
      <c r="G122" s="74" t="str">
        <f>WENNFEHLER(SVERWEIS(Kundenliste[[#This Row],[PLZ]];PLZ[];2;0);"")</f>
        <v>Taufkirchen/Vils</v>
      </c>
      <c r="H122" s="75" t="s">
        <v>7252</v>
      </c>
      <c r="I122" s="76">
        <v>4</v>
      </c>
      <c r="J122" s="77"/>
      <c r="K122" s="77"/>
      <c r="L122" s="78" t="s">
        <v>7338</v>
      </c>
      <c r="M122" s="79"/>
      <c r="N122" s="79"/>
      <c r="O122" s="79"/>
      <c r="P122" s="79"/>
      <c r="Q122" s="79"/>
      <c r="R122" s="79"/>
      <c r="S122" s="79" t="s">
        <v>7240</v>
      </c>
      <c r="T122" s="79" t="s">
        <v>7308</v>
      </c>
    </row>
    <row r="123" spans="1:25" ht="154" x14ac:dyDescent="0.15">
      <c r="A123" s="69">
        <v>46023</v>
      </c>
      <c r="B123" s="70" t="s">
        <v>42</v>
      </c>
      <c r="C123" s="70" t="s">
        <v>7244</v>
      </c>
      <c r="D123" s="71" t="s">
        <v>7253</v>
      </c>
      <c r="E123" s="72"/>
      <c r="F123" s="73">
        <v>85375</v>
      </c>
      <c r="G123" s="74" t="str">
        <f>WENNFEHLER(SVERWEIS(Kundenliste[[#This Row],[PLZ]];PLZ[];2;0);"")</f>
        <v>Neufahrn b. Freising</v>
      </c>
      <c r="H123" s="75" t="s">
        <v>7254</v>
      </c>
      <c r="I123" s="76"/>
      <c r="J123" s="77"/>
      <c r="K123" s="77"/>
      <c r="L123" s="78" t="s">
        <v>7339</v>
      </c>
      <c r="M123" s="79"/>
      <c r="N123" s="79"/>
      <c r="O123" s="79"/>
      <c r="P123" s="79"/>
      <c r="Q123" s="79"/>
      <c r="R123" s="79"/>
      <c r="S123" s="79" t="s">
        <v>7240</v>
      </c>
      <c r="T123" s="79" t="s">
        <v>7309</v>
      </c>
    </row>
    <row r="124" spans="1:25" ht="154" x14ac:dyDescent="0.15">
      <c r="A124" s="69">
        <v>46023</v>
      </c>
      <c r="B124" s="70" t="s">
        <v>42</v>
      </c>
      <c r="C124" s="70" t="s">
        <v>7244</v>
      </c>
      <c r="D124" s="71" t="s">
        <v>7255</v>
      </c>
      <c r="E124" s="72"/>
      <c r="F124" s="73">
        <v>80809</v>
      </c>
      <c r="G124" s="74" t="str">
        <f>WENNFEHLER(SVERWEIS(Kundenliste[[#This Row],[PLZ]];PLZ[];2;0);"")</f>
        <v>München</v>
      </c>
      <c r="H124" s="75" t="s">
        <v>7256</v>
      </c>
      <c r="I124" s="76">
        <v>2</v>
      </c>
      <c r="J124" s="77"/>
      <c r="K124" s="77"/>
      <c r="L124" s="78" t="s">
        <v>7340</v>
      </c>
      <c r="M124" s="79"/>
      <c r="N124" s="79"/>
      <c r="O124" s="79"/>
      <c r="P124" s="79"/>
      <c r="Q124" s="79"/>
      <c r="R124" s="79"/>
      <c r="S124" s="79" t="s">
        <v>7240</v>
      </c>
      <c r="T124" s="79" t="s">
        <v>7310</v>
      </c>
    </row>
    <row r="125" spans="1:25" ht="154" x14ac:dyDescent="0.15">
      <c r="A125" s="69">
        <v>46023</v>
      </c>
      <c r="B125" s="70" t="s">
        <v>42</v>
      </c>
      <c r="C125" s="70" t="s">
        <v>7244</v>
      </c>
      <c r="D125" s="71" t="s">
        <v>7257</v>
      </c>
      <c r="E125" s="72"/>
      <c r="F125" s="73">
        <v>85748</v>
      </c>
      <c r="G125" s="74" t="str">
        <f>WENNFEHLER(SVERWEIS(Kundenliste[[#This Row],[PLZ]];PLZ[];2;0);"")</f>
        <v>Garching b. München</v>
      </c>
      <c r="H125" s="75" t="s">
        <v>7258</v>
      </c>
      <c r="I125" s="76">
        <v>1</v>
      </c>
      <c r="J125" s="77"/>
      <c r="K125" s="77"/>
      <c r="L125" s="78" t="s">
        <v>7341</v>
      </c>
      <c r="M125" s="79"/>
      <c r="N125" s="79"/>
      <c r="O125" s="79"/>
      <c r="P125" s="79"/>
      <c r="Q125" s="79"/>
      <c r="R125" s="79"/>
      <c r="S125" s="79" t="s">
        <v>7240</v>
      </c>
      <c r="T125" s="79" t="s">
        <v>7311</v>
      </c>
    </row>
    <row r="126" spans="1:25" ht="154" x14ac:dyDescent="0.15">
      <c r="A126" s="69">
        <v>46023</v>
      </c>
      <c r="B126" s="70" t="s">
        <v>42</v>
      </c>
      <c r="C126" s="70" t="s">
        <v>7244</v>
      </c>
      <c r="D126" s="71" t="s">
        <v>7259</v>
      </c>
      <c r="E126" s="72"/>
      <c r="F126" s="73">
        <v>84405</v>
      </c>
      <c r="G126" s="74" t="str">
        <f>WENNFEHLER(SVERWEIS(Kundenliste[[#This Row],[PLZ]];PLZ[];2;0);"")</f>
        <v>Dorfen</v>
      </c>
      <c r="H126" s="75" t="s">
        <v>7260</v>
      </c>
      <c r="I126" s="76">
        <v>2</v>
      </c>
      <c r="J126" s="77"/>
      <c r="K126" s="77"/>
      <c r="L126" s="78" t="s">
        <v>7342</v>
      </c>
      <c r="M126" s="79"/>
      <c r="N126" s="79"/>
      <c r="O126" s="79"/>
      <c r="P126" s="79"/>
      <c r="Q126" s="79"/>
      <c r="R126" s="79"/>
      <c r="S126" s="79" t="s">
        <v>7240</v>
      </c>
      <c r="T126" s="79" t="s">
        <v>7312</v>
      </c>
    </row>
    <row r="127" spans="1:25" ht="280" x14ac:dyDescent="0.15">
      <c r="A127" s="69">
        <v>46023</v>
      </c>
      <c r="B127" s="70" t="s">
        <v>42</v>
      </c>
      <c r="C127" s="70" t="s">
        <v>7244</v>
      </c>
      <c r="D127" s="71" t="s">
        <v>7262</v>
      </c>
      <c r="E127" s="72"/>
      <c r="F127" s="73">
        <v>85406</v>
      </c>
      <c r="G127" s="74" t="str">
        <f>WENNFEHLER(SVERWEIS(Kundenliste[[#This Row],[PLZ]];PLZ[];2;0);"")</f>
        <v>Zolling</v>
      </c>
      <c r="H127" s="75" t="s">
        <v>7263</v>
      </c>
      <c r="I127" s="76">
        <v>1</v>
      </c>
      <c r="J127" s="77"/>
      <c r="K127" s="77"/>
      <c r="L127" s="78" t="s">
        <v>7347</v>
      </c>
      <c r="M127" s="79"/>
      <c r="N127" s="79"/>
      <c r="O127" s="79"/>
      <c r="P127" s="79"/>
      <c r="Q127" s="79"/>
      <c r="R127" s="79"/>
      <c r="S127" s="79" t="s">
        <v>7261</v>
      </c>
      <c r="T127" s="79">
        <v>11583748</v>
      </c>
    </row>
    <row r="128" spans="1:25" ht="306" x14ac:dyDescent="0.15">
      <c r="A128" s="69">
        <v>46023</v>
      </c>
      <c r="B128" s="70" t="s">
        <v>42</v>
      </c>
      <c r="C128" s="70" t="s">
        <v>7244</v>
      </c>
      <c r="D128" s="71" t="s">
        <v>7264</v>
      </c>
      <c r="E128" s="72" t="s">
        <v>7313</v>
      </c>
      <c r="F128" s="73">
        <v>85604</v>
      </c>
      <c r="G128" s="74" t="str">
        <f>WENNFEHLER(SVERWEIS(Kundenliste[[#This Row],[PLZ]];PLZ[];2;0);"")</f>
        <v>Zorneding</v>
      </c>
      <c r="H128" s="75" t="s">
        <v>7265</v>
      </c>
      <c r="I128" s="76">
        <v>2</v>
      </c>
      <c r="J128" s="77"/>
      <c r="K128" s="77"/>
      <c r="L128" s="78" t="s">
        <v>7348</v>
      </c>
      <c r="M128" s="79"/>
      <c r="N128" s="79"/>
      <c r="O128" s="79"/>
      <c r="P128" s="79"/>
      <c r="Q128" s="79"/>
      <c r="R128" s="79"/>
      <c r="S128" s="79" t="s">
        <v>7261</v>
      </c>
      <c r="T128" s="79">
        <v>11566902</v>
      </c>
    </row>
    <row r="129" spans="1:20" ht="293" x14ac:dyDescent="0.15">
      <c r="A129" s="69">
        <v>46023</v>
      </c>
      <c r="B129" s="70" t="s">
        <v>42</v>
      </c>
      <c r="C129" s="70" t="s">
        <v>7244</v>
      </c>
      <c r="D129" s="71" t="s">
        <v>7266</v>
      </c>
      <c r="E129" s="72" t="s">
        <v>7314</v>
      </c>
      <c r="F129" s="73">
        <v>85586</v>
      </c>
      <c r="G129" s="74" t="str">
        <f>WENNFEHLER(SVERWEIS(Kundenliste[[#This Row],[PLZ]];PLZ[];2;0);"")</f>
        <v>Poing</v>
      </c>
      <c r="H129" s="75" t="s">
        <v>7267</v>
      </c>
      <c r="I129" s="76">
        <v>1</v>
      </c>
      <c r="J129" s="77"/>
      <c r="K129" s="77"/>
      <c r="L129" s="78" t="s">
        <v>7349</v>
      </c>
      <c r="M129" s="79"/>
      <c r="N129" s="79"/>
      <c r="O129" s="79"/>
      <c r="P129" s="79"/>
      <c r="Q129" s="79"/>
      <c r="R129" s="79"/>
      <c r="S129" s="79" t="s">
        <v>7261</v>
      </c>
      <c r="T129" s="79">
        <v>11577062</v>
      </c>
    </row>
    <row r="130" spans="1:20" ht="293" x14ac:dyDescent="0.15">
      <c r="A130" s="69">
        <v>46023</v>
      </c>
      <c r="B130" s="70" t="s">
        <v>42</v>
      </c>
      <c r="C130" s="70" t="s">
        <v>7244</v>
      </c>
      <c r="D130" s="71" t="s">
        <v>7268</v>
      </c>
      <c r="E130" s="72" t="s">
        <v>7315</v>
      </c>
      <c r="F130" s="73">
        <v>84036</v>
      </c>
      <c r="G130" s="74" t="str">
        <f>WENNFEHLER(SVERWEIS(Kundenliste[[#This Row],[PLZ]];PLZ[];2;0);"")</f>
        <v>Landshut</v>
      </c>
      <c r="H130" s="75" t="s">
        <v>7269</v>
      </c>
      <c r="I130" s="76">
        <v>2</v>
      </c>
      <c r="J130" s="77"/>
      <c r="K130" s="77"/>
      <c r="L130" s="78" t="s">
        <v>7350</v>
      </c>
      <c r="M130" s="79"/>
      <c r="N130" s="79"/>
      <c r="O130" s="79"/>
      <c r="P130" s="79"/>
      <c r="Q130" s="79"/>
      <c r="R130" s="79"/>
      <c r="S130" s="79" t="s">
        <v>7261</v>
      </c>
      <c r="T130" s="79">
        <v>11578113</v>
      </c>
    </row>
    <row r="131" spans="1:20" ht="293" x14ac:dyDescent="0.15">
      <c r="A131" s="69">
        <v>46023</v>
      </c>
      <c r="B131" s="70" t="s">
        <v>42</v>
      </c>
      <c r="C131" s="70" t="s">
        <v>7244</v>
      </c>
      <c r="D131" s="71" t="s">
        <v>7270</v>
      </c>
      <c r="E131" s="72" t="s">
        <v>7316</v>
      </c>
      <c r="F131" s="73">
        <v>85599</v>
      </c>
      <c r="G131" s="74" t="str">
        <f>WENNFEHLER(SVERWEIS(Kundenliste[[#This Row],[PLZ]];PLZ[];2;0);"")</f>
        <v>Vaterstetten</v>
      </c>
      <c r="H131" s="75" t="s">
        <v>7271</v>
      </c>
      <c r="I131" s="76">
        <v>2</v>
      </c>
      <c r="J131" s="77"/>
      <c r="K131" s="77"/>
      <c r="L131" s="78" t="s">
        <v>7351</v>
      </c>
      <c r="M131" s="79"/>
      <c r="N131" s="79"/>
      <c r="O131" s="79"/>
      <c r="P131" s="79"/>
      <c r="Q131" s="79"/>
      <c r="R131" s="79"/>
      <c r="S131" s="79" t="s">
        <v>7261</v>
      </c>
      <c r="T131" s="79">
        <v>11599636</v>
      </c>
    </row>
    <row r="132" spans="1:20" ht="293" x14ac:dyDescent="0.15">
      <c r="A132" s="69">
        <v>46023</v>
      </c>
      <c r="B132" s="70" t="s">
        <v>42</v>
      </c>
      <c r="C132" s="70" t="s">
        <v>7244</v>
      </c>
      <c r="D132" s="71" t="s">
        <v>7272</v>
      </c>
      <c r="E132" s="72"/>
      <c r="F132" s="73">
        <v>80935</v>
      </c>
      <c r="G132" s="74" t="str">
        <f>WENNFEHLER(SVERWEIS(Kundenliste[[#This Row],[PLZ]];PLZ[];2;0);"")</f>
        <v>München</v>
      </c>
      <c r="H132" s="75" t="s">
        <v>7176</v>
      </c>
      <c r="I132" s="76">
        <v>1</v>
      </c>
      <c r="J132" s="77"/>
      <c r="K132" s="77"/>
      <c r="L132" s="78" t="s">
        <v>7352</v>
      </c>
      <c r="M132" s="79"/>
      <c r="N132" s="79"/>
      <c r="O132" s="79"/>
      <c r="P132" s="79"/>
      <c r="Q132" s="79"/>
      <c r="R132" s="79"/>
      <c r="S132" s="79" t="s">
        <v>7261</v>
      </c>
      <c r="T132" s="79">
        <v>11573836</v>
      </c>
    </row>
    <row r="133" spans="1:20" ht="154" x14ac:dyDescent="0.15">
      <c r="A133" s="69">
        <v>46023</v>
      </c>
      <c r="B133" s="70" t="s">
        <v>42</v>
      </c>
      <c r="C133" s="70" t="s">
        <v>7244</v>
      </c>
      <c r="D133" s="71" t="s">
        <v>7276</v>
      </c>
      <c r="E133" s="72"/>
      <c r="F133" s="73">
        <v>85737</v>
      </c>
      <c r="G133" s="74" t="str">
        <f>WENNFEHLER(SVERWEIS(Kundenliste[[#This Row],[PLZ]];PLZ[];2;0);"")</f>
        <v>Hallbergmoos</v>
      </c>
      <c r="H133" s="75" t="s">
        <v>7277</v>
      </c>
      <c r="I133" s="76">
        <v>1</v>
      </c>
      <c r="J133" s="77"/>
      <c r="K133" s="77"/>
      <c r="L133" s="78" t="s">
        <v>7353</v>
      </c>
      <c r="M133" s="79"/>
      <c r="N133" s="79"/>
      <c r="O133" s="79"/>
      <c r="P133" s="79"/>
      <c r="Q133" s="79"/>
      <c r="R133" s="79"/>
      <c r="S133" s="79" t="s">
        <v>7240</v>
      </c>
      <c r="T133" s="79" t="s">
        <v>7317</v>
      </c>
    </row>
    <row r="134" spans="1:20" ht="154" x14ac:dyDescent="0.15">
      <c r="A134" s="69">
        <v>46023</v>
      </c>
      <c r="B134" s="70" t="s">
        <v>42</v>
      </c>
      <c r="C134" s="70" t="s">
        <v>7244</v>
      </c>
      <c r="D134" s="71" t="s">
        <v>7278</v>
      </c>
      <c r="E134" s="72"/>
      <c r="F134" s="73">
        <v>80939</v>
      </c>
      <c r="G134" s="74" t="str">
        <f>WENNFEHLER(SVERWEIS(Kundenliste[[#This Row],[PLZ]];PLZ[];2;0);"")</f>
        <v>München</v>
      </c>
      <c r="H134" s="75" t="s">
        <v>7279</v>
      </c>
      <c r="I134" s="76">
        <v>2</v>
      </c>
      <c r="J134" s="77"/>
      <c r="K134" s="77"/>
      <c r="L134" s="78" t="s">
        <v>7354</v>
      </c>
      <c r="M134" s="79"/>
      <c r="N134" s="79"/>
      <c r="O134" s="79"/>
      <c r="P134" s="79"/>
      <c r="Q134" s="79"/>
      <c r="R134" s="79"/>
      <c r="S134" s="79" t="s">
        <v>7240</v>
      </c>
      <c r="T134" s="79" t="s">
        <v>7318</v>
      </c>
    </row>
    <row r="135" spans="1:20" ht="154" x14ac:dyDescent="0.15">
      <c r="A135" s="69">
        <v>46023</v>
      </c>
      <c r="B135" s="70" t="s">
        <v>42</v>
      </c>
      <c r="C135" s="70" t="s">
        <v>7243</v>
      </c>
      <c r="D135" s="71" t="s">
        <v>7241</v>
      </c>
      <c r="E135" s="72"/>
      <c r="F135" s="73">
        <v>85399</v>
      </c>
      <c r="G135" s="74" t="str">
        <f>WENNFEHLER(SVERWEIS(Kundenliste[[#This Row],[PLZ]];PLZ[];2;0);"")</f>
        <v>Hallbergmoos</v>
      </c>
      <c r="H135" s="75" t="s">
        <v>7242</v>
      </c>
      <c r="I135" s="76">
        <v>1</v>
      </c>
      <c r="J135" s="77"/>
      <c r="K135" s="77"/>
      <c r="L135" s="78" t="s">
        <v>7355</v>
      </c>
      <c r="M135" s="79"/>
      <c r="N135" s="79"/>
      <c r="O135" s="79"/>
      <c r="P135" s="79"/>
      <c r="Q135" s="79"/>
      <c r="R135" s="79"/>
      <c r="S135" s="79" t="s">
        <v>7240</v>
      </c>
      <c r="T135" s="79" t="s">
        <v>7304</v>
      </c>
    </row>
    <row r="136" spans="1:20" ht="154" x14ac:dyDescent="0.15">
      <c r="A136" s="69">
        <v>46023</v>
      </c>
      <c r="B136" s="70" t="s">
        <v>42</v>
      </c>
      <c r="C136" s="70" t="s">
        <v>7244</v>
      </c>
      <c r="D136" s="71" t="s">
        <v>7280</v>
      </c>
      <c r="E136" s="72"/>
      <c r="F136" s="73">
        <v>85368</v>
      </c>
      <c r="G136" s="74" t="str">
        <f>WENNFEHLER(SVERWEIS(Kundenliste[[#This Row],[PLZ]];PLZ[];2;0);"")</f>
        <v>Wang</v>
      </c>
      <c r="H136" s="75" t="s">
        <v>7281</v>
      </c>
      <c r="I136" s="76">
        <v>1</v>
      </c>
      <c r="J136" s="77"/>
      <c r="K136" s="77"/>
      <c r="L136" s="78" t="s">
        <v>7356</v>
      </c>
      <c r="M136" s="79"/>
      <c r="N136" s="79"/>
      <c r="O136" s="79"/>
      <c r="P136" s="79"/>
      <c r="Q136" s="79"/>
      <c r="R136" s="79"/>
      <c r="S136" s="79" t="s">
        <v>7240</v>
      </c>
      <c r="T136" s="79" t="s">
        <v>7319</v>
      </c>
    </row>
    <row r="137" spans="1:20" ht="154" x14ac:dyDescent="0.15">
      <c r="A137" s="69">
        <v>46023</v>
      </c>
      <c r="B137" s="70" t="s">
        <v>42</v>
      </c>
      <c r="C137" s="70" t="s">
        <v>7244</v>
      </c>
      <c r="D137" s="71" t="s">
        <v>7282</v>
      </c>
      <c r="E137" s="72"/>
      <c r="F137" s="73">
        <v>84036</v>
      </c>
      <c r="G137" s="74" t="str">
        <f>WENNFEHLER(SVERWEIS(Kundenliste[[#This Row],[PLZ]];PLZ[];2;0);"")</f>
        <v>Landshut</v>
      </c>
      <c r="H137" s="75" t="s">
        <v>7283</v>
      </c>
      <c r="I137" s="76">
        <v>2</v>
      </c>
      <c r="J137" s="77"/>
      <c r="K137" s="77"/>
      <c r="L137" s="78" t="s">
        <v>7357</v>
      </c>
      <c r="M137" s="79"/>
      <c r="N137" s="79"/>
      <c r="O137" s="79"/>
      <c r="P137" s="79"/>
      <c r="Q137" s="79"/>
      <c r="R137" s="79"/>
      <c r="S137" s="79" t="s">
        <v>7240</v>
      </c>
      <c r="T137" s="79" t="s">
        <v>7320</v>
      </c>
    </row>
    <row r="138" spans="1:20" ht="154" x14ac:dyDescent="0.15">
      <c r="A138" s="69">
        <v>46023</v>
      </c>
      <c r="B138" s="70" t="s">
        <v>42</v>
      </c>
      <c r="C138" s="70" t="s">
        <v>7243</v>
      </c>
      <c r="D138" s="71" t="s">
        <v>7284</v>
      </c>
      <c r="E138" s="72"/>
      <c r="F138" s="73">
        <v>84028</v>
      </c>
      <c r="G138" s="74" t="str">
        <f>WENNFEHLER(SVERWEIS(Kundenliste[[#This Row],[PLZ]];PLZ[];2;0);"")</f>
        <v>Landshut</v>
      </c>
      <c r="H138" s="75" t="s">
        <v>7285</v>
      </c>
      <c r="I138" s="76">
        <v>4</v>
      </c>
      <c r="J138" s="77"/>
      <c r="K138" s="77"/>
      <c r="L138" s="78" t="s">
        <v>7358</v>
      </c>
      <c r="M138" s="79"/>
      <c r="N138" s="79"/>
      <c r="O138" s="79"/>
      <c r="P138" s="79"/>
      <c r="Q138" s="79"/>
      <c r="R138" s="79"/>
      <c r="S138" s="79" t="s">
        <v>7240</v>
      </c>
      <c r="T138" s="79" t="s">
        <v>7321</v>
      </c>
    </row>
    <row r="139" spans="1:20" ht="154" x14ac:dyDescent="0.15">
      <c r="A139" s="69">
        <v>46023</v>
      </c>
      <c r="B139" s="70" t="s">
        <v>42</v>
      </c>
      <c r="C139" s="70" t="s">
        <v>7244</v>
      </c>
      <c r="D139" s="71" t="s">
        <v>7286</v>
      </c>
      <c r="E139" s="72"/>
      <c r="F139" s="73">
        <v>85599</v>
      </c>
      <c r="G139" s="74" t="str">
        <f>WENNFEHLER(SVERWEIS(Kundenliste[[#This Row],[PLZ]];PLZ[];2;0);"")</f>
        <v>Vaterstetten</v>
      </c>
      <c r="H139" s="75" t="s">
        <v>7287</v>
      </c>
      <c r="I139" s="76">
        <v>2</v>
      </c>
      <c r="J139" s="77"/>
      <c r="K139" s="77"/>
      <c r="L139" s="78" t="s">
        <v>7359</v>
      </c>
      <c r="M139" s="79"/>
      <c r="N139" s="79"/>
      <c r="O139" s="79"/>
      <c r="P139" s="79"/>
      <c r="Q139" s="79"/>
      <c r="R139" s="79"/>
      <c r="S139" s="79" t="s">
        <v>7240</v>
      </c>
      <c r="T139" s="79" t="s">
        <v>7322</v>
      </c>
    </row>
    <row r="140" spans="1:20" ht="154" x14ac:dyDescent="0.15">
      <c r="A140" s="69">
        <v>46023</v>
      </c>
      <c r="B140" s="70" t="s">
        <v>42</v>
      </c>
      <c r="C140" s="70" t="s">
        <v>7244</v>
      </c>
      <c r="D140" s="71" t="s">
        <v>7288</v>
      </c>
      <c r="E140" s="72"/>
      <c r="F140" s="73">
        <v>80805</v>
      </c>
      <c r="G140" s="74" t="str">
        <f>WENNFEHLER(SVERWEIS(Kundenliste[[#This Row],[PLZ]];PLZ[];2;0);"")</f>
        <v>München</v>
      </c>
      <c r="H140" s="75" t="s">
        <v>7289</v>
      </c>
      <c r="I140" s="76">
        <v>3</v>
      </c>
      <c r="J140" s="77"/>
      <c r="K140" s="77"/>
      <c r="L140" s="78" t="s">
        <v>7360</v>
      </c>
      <c r="M140" s="79"/>
      <c r="N140" s="79"/>
      <c r="O140" s="79"/>
      <c r="P140" s="79"/>
      <c r="Q140" s="79"/>
      <c r="R140" s="79"/>
      <c r="S140" s="79" t="s">
        <v>7240</v>
      </c>
      <c r="T140" s="79" t="s">
        <v>7323</v>
      </c>
    </row>
    <row r="141" spans="1:20" ht="293" x14ac:dyDescent="0.15">
      <c r="A141" s="69">
        <v>46023</v>
      </c>
      <c r="B141" s="70" t="s">
        <v>42</v>
      </c>
      <c r="C141" s="70" t="s">
        <v>7244</v>
      </c>
      <c r="D141" s="71" t="s">
        <v>7290</v>
      </c>
      <c r="E141" s="72" t="s">
        <v>7324</v>
      </c>
      <c r="F141" s="73">
        <v>85399</v>
      </c>
      <c r="G141" s="74" t="str">
        <f>WENNFEHLER(SVERWEIS(Kundenliste[[#This Row],[PLZ]];PLZ[];2;0);"")</f>
        <v>Hallbergmoos</v>
      </c>
      <c r="H141" s="75" t="s">
        <v>7291</v>
      </c>
      <c r="I141" s="76">
        <v>2</v>
      </c>
      <c r="J141" s="77"/>
      <c r="K141" s="77"/>
      <c r="L141" s="78" t="s">
        <v>7361</v>
      </c>
      <c r="M141" s="79"/>
      <c r="N141" s="79"/>
      <c r="O141" s="79"/>
      <c r="P141" s="79"/>
      <c r="Q141" s="79"/>
      <c r="R141" s="79"/>
      <c r="S141" s="79" t="s">
        <v>7261</v>
      </c>
      <c r="T141" s="79">
        <v>11714018</v>
      </c>
    </row>
    <row r="142" spans="1:20" ht="293" x14ac:dyDescent="0.15">
      <c r="A142" s="69">
        <v>46023</v>
      </c>
      <c r="B142" s="70" t="s">
        <v>42</v>
      </c>
      <c r="C142" s="70" t="s">
        <v>7244</v>
      </c>
      <c r="D142" s="71" t="s">
        <v>7326</v>
      </c>
      <c r="E142" s="72" t="s">
        <v>7329</v>
      </c>
      <c r="F142" s="73">
        <v>84032</v>
      </c>
      <c r="G142" s="74" t="str">
        <f>WENNFEHLER(SVERWEIS(Kundenliste[[#This Row],[PLZ]];PLZ[];2;0);"")</f>
        <v>Furth Kr. Landshut</v>
      </c>
      <c r="H142" s="75" t="s">
        <v>7327</v>
      </c>
      <c r="I142" s="76">
        <v>2</v>
      </c>
      <c r="J142" s="77"/>
      <c r="K142" s="77"/>
      <c r="L142" s="78" t="s">
        <v>7328</v>
      </c>
      <c r="M142" s="79"/>
      <c r="N142" s="79"/>
      <c r="O142" s="79"/>
      <c r="P142" s="79"/>
      <c r="Q142" s="79"/>
      <c r="R142" s="79"/>
      <c r="S142" s="79" t="s">
        <v>7261</v>
      </c>
      <c r="T142" s="79">
        <v>11751955</v>
      </c>
    </row>
    <row r="143" spans="1:20" ht="293" x14ac:dyDescent="0.15">
      <c r="A143" s="69">
        <v>46023</v>
      </c>
      <c r="B143" s="70" t="s">
        <v>42</v>
      </c>
      <c r="C143" s="70" t="s">
        <v>7244</v>
      </c>
      <c r="D143" s="71" t="s">
        <v>7292</v>
      </c>
      <c r="E143" s="72"/>
      <c r="F143" s="73">
        <v>85375</v>
      </c>
      <c r="G143" s="74" t="str">
        <f>WENNFEHLER(SVERWEIS(Kundenliste[[#This Row],[PLZ]];PLZ[];2;0);"")</f>
        <v>Neufahrn b. Freising</v>
      </c>
      <c r="H143" s="75" t="s">
        <v>7293</v>
      </c>
      <c r="I143" s="76">
        <v>1</v>
      </c>
      <c r="J143" s="77"/>
      <c r="K143" s="77"/>
      <c r="L143" s="78" t="s">
        <v>7362</v>
      </c>
      <c r="M143" s="79"/>
      <c r="N143" s="79"/>
      <c r="O143" s="79"/>
      <c r="P143" s="79"/>
      <c r="Q143" s="79"/>
      <c r="R143" s="79"/>
      <c r="S143" s="79" t="s">
        <v>7261</v>
      </c>
      <c r="T143" s="79">
        <v>11741409</v>
      </c>
    </row>
    <row r="144" spans="1:20" ht="266" x14ac:dyDescent="0.15">
      <c r="A144" s="69">
        <v>46023</v>
      </c>
      <c r="B144" s="70" t="s">
        <v>42</v>
      </c>
      <c r="C144" s="70" t="s">
        <v>7243</v>
      </c>
      <c r="D144" s="71" t="s">
        <v>7273</v>
      </c>
      <c r="E144" s="72"/>
      <c r="F144" s="73">
        <v>85375</v>
      </c>
      <c r="G144" s="74" t="str">
        <f>WENNFEHLER(SVERWEIS(Kundenliste[[#This Row],[PLZ]];PLZ[];2;0);"")</f>
        <v>Neufahrn b. Freising</v>
      </c>
      <c r="H144" s="75" t="s">
        <v>7303</v>
      </c>
      <c r="I144" s="76">
        <v>1</v>
      </c>
      <c r="J144" s="77"/>
      <c r="K144" s="77"/>
      <c r="L144" s="78" t="s">
        <v>7363</v>
      </c>
      <c r="M144" s="79"/>
      <c r="N144" s="79"/>
      <c r="O144" s="79"/>
      <c r="P144" s="79"/>
      <c r="Q144" s="79"/>
      <c r="R144" s="79"/>
      <c r="S144" s="79" t="s">
        <v>7261</v>
      </c>
      <c r="T144" s="79">
        <v>11684846</v>
      </c>
    </row>
    <row r="145" spans="1:20" ht="293" x14ac:dyDescent="0.15">
      <c r="A145" s="69">
        <v>46023</v>
      </c>
      <c r="B145" s="70" t="s">
        <v>42</v>
      </c>
      <c r="C145" s="70" t="s">
        <v>7244</v>
      </c>
      <c r="D145" s="71" t="s">
        <v>7294</v>
      </c>
      <c r="E145" s="72"/>
      <c r="F145" s="73">
        <v>84036</v>
      </c>
      <c r="G145" s="74" t="str">
        <f>WENNFEHLER(SVERWEIS(Kundenliste[[#This Row],[PLZ]];PLZ[];2;0);"")</f>
        <v>Landshut</v>
      </c>
      <c r="H145" s="75" t="s">
        <v>7295</v>
      </c>
      <c r="I145" s="76">
        <v>2</v>
      </c>
      <c r="J145" s="77"/>
      <c r="K145" s="77"/>
      <c r="L145" s="78" t="s">
        <v>7364</v>
      </c>
      <c r="M145" s="79"/>
      <c r="N145" s="79"/>
      <c r="O145" s="79"/>
      <c r="P145" s="79"/>
      <c r="Q145" s="79"/>
      <c r="R145" s="79"/>
      <c r="S145" s="79" t="s">
        <v>7261</v>
      </c>
      <c r="T145" s="79">
        <v>11749972</v>
      </c>
    </row>
    <row r="146" spans="1:20" ht="266" x14ac:dyDescent="0.15">
      <c r="A146" s="69">
        <v>46023</v>
      </c>
      <c r="B146" s="70" t="s">
        <v>42</v>
      </c>
      <c r="C146" s="70" t="s">
        <v>7244</v>
      </c>
      <c r="D146" s="71" t="s">
        <v>7296</v>
      </c>
      <c r="E146" s="72"/>
      <c r="F146" s="73">
        <v>85591</v>
      </c>
      <c r="G146" s="74" t="str">
        <f>WENNFEHLER(SVERWEIS(Kundenliste[[#This Row],[PLZ]];PLZ[];2;0);"")</f>
        <v>Vaterstetten</v>
      </c>
      <c r="H146" s="75" t="s">
        <v>7297</v>
      </c>
      <c r="I146" s="76">
        <v>2</v>
      </c>
      <c r="J146" s="77"/>
      <c r="K146" s="77"/>
      <c r="L146" s="78" t="s">
        <v>7365</v>
      </c>
      <c r="M146" s="79"/>
      <c r="N146" s="79"/>
      <c r="O146" s="79"/>
      <c r="P146" s="79"/>
      <c r="Q146" s="79"/>
      <c r="R146" s="79"/>
      <c r="S146" s="79" t="s">
        <v>7261</v>
      </c>
      <c r="T146" s="79">
        <v>11747500</v>
      </c>
    </row>
    <row r="147" spans="1:20" ht="306" x14ac:dyDescent="0.15">
      <c r="A147" s="69">
        <v>46023</v>
      </c>
      <c r="B147" s="70" t="s">
        <v>42</v>
      </c>
      <c r="C147" s="70" t="s">
        <v>7244</v>
      </c>
      <c r="D147" s="71" t="s">
        <v>7334</v>
      </c>
      <c r="E147" s="72" t="s">
        <v>7325</v>
      </c>
      <c r="F147" s="73">
        <v>85570</v>
      </c>
      <c r="G147" s="74" t="str">
        <f>WENNFEHLER(SVERWEIS(Kundenliste[[#This Row],[PLZ]];PLZ[];2;0);"")</f>
        <v>Anzing</v>
      </c>
      <c r="H147" s="75" t="s">
        <v>7298</v>
      </c>
      <c r="I147" s="76">
        <v>1</v>
      </c>
      <c r="J147" s="77"/>
      <c r="K147" s="77"/>
      <c r="L147" s="78" t="s">
        <v>7330</v>
      </c>
      <c r="M147" s="79"/>
      <c r="N147" s="79"/>
      <c r="O147" s="79"/>
      <c r="P147" s="79"/>
      <c r="Q147" s="79"/>
      <c r="R147" s="79"/>
      <c r="S147" s="79" t="s">
        <v>7261</v>
      </c>
      <c r="T147" s="79">
        <v>11745845</v>
      </c>
    </row>
    <row r="148" spans="1:20" ht="266" x14ac:dyDescent="0.15">
      <c r="A148" s="69">
        <v>46023</v>
      </c>
      <c r="B148" s="70" t="s">
        <v>42</v>
      </c>
      <c r="C148" s="70" t="s">
        <v>7244</v>
      </c>
      <c r="D148" s="71" t="s">
        <v>7274</v>
      </c>
      <c r="E148" s="72"/>
      <c r="F148" s="73">
        <v>81925</v>
      </c>
      <c r="G148" s="74" t="str">
        <f>WENNFEHLER(SVERWEIS(Kundenliste[[#This Row],[PLZ]];PLZ[];2;0);"")</f>
        <v>München</v>
      </c>
      <c r="H148" s="75" t="s">
        <v>7275</v>
      </c>
      <c r="I148" s="76">
        <v>1</v>
      </c>
      <c r="J148" s="77"/>
      <c r="K148" s="77"/>
      <c r="L148" s="78" t="s">
        <v>7366</v>
      </c>
      <c r="M148" s="79"/>
      <c r="N148" s="79"/>
      <c r="O148" s="79"/>
      <c r="P148" s="79"/>
      <c r="Q148" s="79"/>
      <c r="R148" s="79"/>
      <c r="S148" s="79" t="s">
        <v>7261</v>
      </c>
      <c r="T148" s="79">
        <v>11715949</v>
      </c>
    </row>
    <row r="149" spans="1:20" ht="293" x14ac:dyDescent="0.15">
      <c r="A149" s="69">
        <v>46023</v>
      </c>
      <c r="B149" s="70" t="s">
        <v>42</v>
      </c>
      <c r="C149" s="70" t="s">
        <v>7244</v>
      </c>
      <c r="D149" s="71" t="s">
        <v>7331</v>
      </c>
      <c r="E149" s="72"/>
      <c r="F149" s="73">
        <v>85445</v>
      </c>
      <c r="G149" s="74" t="str">
        <f>WENNFEHLER(SVERWEIS(Kundenliste[[#This Row],[PLZ]];PLZ[];2;0);"")</f>
        <v>Oberding</v>
      </c>
      <c r="H149" s="75" t="s">
        <v>7332</v>
      </c>
      <c r="I149" s="76">
        <v>2</v>
      </c>
      <c r="J149" s="77"/>
      <c r="K149" s="77"/>
      <c r="L149" s="78" t="s">
        <v>7333</v>
      </c>
      <c r="M149" s="79"/>
      <c r="N149" s="79"/>
      <c r="O149" s="79"/>
      <c r="P149" s="79"/>
      <c r="Q149" s="79"/>
      <c r="R149" s="79"/>
      <c r="S149" s="79" t="s">
        <v>7261</v>
      </c>
      <c r="T149" s="79">
        <v>11737061</v>
      </c>
    </row>
    <row r="150" spans="1:20" ht="266" x14ac:dyDescent="0.15">
      <c r="A150" s="69">
        <v>46023</v>
      </c>
      <c r="B150" s="70" t="s">
        <v>42</v>
      </c>
      <c r="C150" s="70" t="s">
        <v>7244</v>
      </c>
      <c r="D150" s="71" t="s">
        <v>7299</v>
      </c>
      <c r="E150" s="72"/>
      <c r="F150" s="73">
        <v>85386</v>
      </c>
      <c r="G150" s="74" t="str">
        <f>WENNFEHLER(SVERWEIS(Kundenliste[[#This Row],[PLZ]];PLZ[];2;0);"")</f>
        <v>Eching Kr. Freising</v>
      </c>
      <c r="H150" s="75" t="s">
        <v>7300</v>
      </c>
      <c r="I150" s="76">
        <v>2</v>
      </c>
      <c r="J150" s="77"/>
      <c r="K150" s="77"/>
      <c r="L150" s="78" t="s">
        <v>7367</v>
      </c>
      <c r="M150" s="79"/>
      <c r="N150" s="79"/>
      <c r="O150" s="79"/>
      <c r="P150" s="79"/>
      <c r="Q150" s="79"/>
      <c r="R150" s="79"/>
      <c r="S150" s="79" t="s">
        <v>7261</v>
      </c>
      <c r="T150" s="79">
        <v>11707694</v>
      </c>
    </row>
    <row r="151" spans="1:20" ht="280" x14ac:dyDescent="0.15">
      <c r="A151" s="69">
        <v>46023</v>
      </c>
      <c r="B151" s="70" t="s">
        <v>42</v>
      </c>
      <c r="C151" s="70" t="s">
        <v>7243</v>
      </c>
      <c r="D151" s="71" t="s">
        <v>7301</v>
      </c>
      <c r="E151" s="72"/>
      <c r="F151" s="73">
        <v>85354</v>
      </c>
      <c r="G151" s="74" t="str">
        <f>WENNFEHLER(SVERWEIS(Kundenliste[[#This Row],[PLZ]];PLZ[];2;0);"")</f>
        <v>Freising</v>
      </c>
      <c r="H151" s="75" t="s">
        <v>7302</v>
      </c>
      <c r="I151" s="76">
        <v>2</v>
      </c>
      <c r="J151" s="77"/>
      <c r="K151" s="77"/>
      <c r="L151" s="78" t="s">
        <v>7368</v>
      </c>
      <c r="M151" s="79"/>
      <c r="N151" s="79"/>
      <c r="O151" s="79"/>
      <c r="P151" s="79"/>
      <c r="Q151" s="79"/>
      <c r="R151" s="79"/>
      <c r="S151" s="79" t="s">
        <v>7261</v>
      </c>
      <c r="T151" s="79">
        <v>11498210</v>
      </c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</row>
    <row r="161" spans="1:19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</row>
    <row r="162" spans="1:19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</row>
    <row r="163" spans="1:19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</row>
    <row r="164" spans="1:19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</row>
    <row r="165" spans="1:19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</row>
    <row r="166" spans="1:19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</row>
    <row r="167" spans="1:19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</row>
    <row r="168" spans="1:19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</row>
    <row r="169" spans="1:19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</row>
    <row r="170" spans="1:19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</row>
    <row r="171" spans="1:19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</row>
    <row r="172" spans="1:19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</row>
    <row r="173" spans="1:19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</row>
    <row r="174" spans="1:19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</row>
    <row r="175" spans="1:19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19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51" xr:uid="{00000000-0002-0000-0000-000001000000}">
      <formula1>"Verbund Pflegehilfe,Pflegehelfer 24,Empfehlung,Sonstiges,Pflegedienst,Pflegestützpunkt"</formula1>
    </dataValidation>
    <dataValidation type="list" allowBlank="1" showErrorMessage="1" sqref="B5:B151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zoomScale="120" zoomScaleNormal="120" workbookViewId="0">
      <selection activeCell="J37" sqref="J37"/>
    </sheetView>
  </sheetViews>
  <sheetFormatPr baseColWidth="10" defaultRowHeight="15" x14ac:dyDescent="0.25"/>
  <cols>
    <col min="1" max="1" width="41.5" style="55" bestFit="1" customWidth="1"/>
    <col min="2" max="2" width="10.5" style="55" bestFit="1" customWidth="1"/>
    <col min="3" max="3" width="14.6640625" style="55" bestFit="1" customWidth="1"/>
    <col min="4" max="4" width="19.83203125" style="55" bestFit="1" customWidth="1"/>
    <col min="5" max="5" width="9.83203125" style="55" bestFit="1" customWidth="1"/>
    <col min="6" max="6" width="12.5" style="55" bestFit="1" customWidth="1"/>
    <col min="7" max="7" width="18.5" style="55" bestFit="1" customWidth="1"/>
    <col min="8" max="8" width="7.83203125" style="55" bestFit="1" customWidth="1"/>
    <col min="9" max="9" width="7.33203125" style="55" bestFit="1" customWidth="1"/>
    <col min="10" max="10" width="24.33203125" style="55" bestFit="1" customWidth="1"/>
    <col min="11" max="11" width="6.5" style="55" bestFit="1" customWidth="1"/>
    <col min="12" max="19" width="10.83203125" style="55"/>
    <col min="20" max="25" width="10.83203125" style="55" customWidth="1"/>
    <col min="26" max="16384" width="10.83203125" style="55"/>
  </cols>
  <sheetData>
    <row r="1" spans="20:25" x14ac:dyDescent="0.25">
      <c r="T1" s="55" t="s">
        <v>7083</v>
      </c>
      <c r="U1" s="55" t="s">
        <v>7079</v>
      </c>
      <c r="V1" s="55" t="s">
        <v>7084</v>
      </c>
      <c r="W1" s="55" t="s">
        <v>7085</v>
      </c>
      <c r="X1" s="55" t="s">
        <v>7083</v>
      </c>
      <c r="Y1" s="55" t="s">
        <v>7085</v>
      </c>
    </row>
    <row r="2" spans="20:25" x14ac:dyDescent="0.25">
      <c r="T2" s="62">
        <v>46023</v>
      </c>
      <c r="U2" s="55">
        <v>135</v>
      </c>
      <c r="V2" s="55">
        <v>19</v>
      </c>
      <c r="W2" s="55">
        <v>67</v>
      </c>
      <c r="X2" s="62">
        <v>46023</v>
      </c>
      <c r="Y2" s="55">
        <v>67</v>
      </c>
    </row>
    <row r="3" spans="20:25" x14ac:dyDescent="0.25">
      <c r="T3" s="62">
        <v>46054</v>
      </c>
      <c r="U3" s="55">
        <v>16</v>
      </c>
      <c r="V3" s="55">
        <v>2</v>
      </c>
      <c r="W3" s="55">
        <v>8</v>
      </c>
      <c r="X3" s="62">
        <v>46054</v>
      </c>
      <c r="Y3" s="55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0" t="s">
        <v>7239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6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6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A2" sqref="A2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7218</v>
      </c>
      <c r="C2" s="7" t="s">
        <v>7219</v>
      </c>
      <c r="D2" s="7" t="s">
        <v>7220</v>
      </c>
      <c r="E2" s="7" t="s">
        <v>7220</v>
      </c>
      <c r="F2" s="7" t="e">
        <v>#DIV/0!</v>
      </c>
      <c r="G2" s="7" t="e">
        <v>#DIV/0!</v>
      </c>
      <c r="H2" s="8" t="s">
        <v>7221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7222</v>
      </c>
      <c r="C3" s="10" t="s">
        <v>7219</v>
      </c>
      <c r="D3" s="10" t="s">
        <v>7223</v>
      </c>
      <c r="E3" s="10" t="s">
        <v>7223</v>
      </c>
      <c r="F3" s="10" t="e">
        <v>#DIV/0!</v>
      </c>
      <c r="G3" s="10" t="e">
        <v>#DIV/0!</v>
      </c>
      <c r="H3" s="11" t="s">
        <v>7224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7225</v>
      </c>
      <c r="C4" s="7" t="s">
        <v>7226</v>
      </c>
      <c r="D4" s="7" t="s">
        <v>7223</v>
      </c>
      <c r="E4" s="7" t="s">
        <v>7223</v>
      </c>
      <c r="F4" s="7" t="e">
        <v>#DIV/0!</v>
      </c>
      <c r="G4" s="7" t="e">
        <v>#DIV/0!</v>
      </c>
      <c r="H4" s="8" t="s">
        <v>7227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8" t="s">
        <v>232</v>
      </c>
      <c r="B7" s="58" t="s">
        <v>42</v>
      </c>
      <c r="C7" s="58" t="s">
        <v>70</v>
      </c>
      <c r="D7" s="58" t="s">
        <v>18</v>
      </c>
      <c r="E7" s="58" t="s">
        <v>59</v>
      </c>
      <c r="F7" s="58" t="s">
        <v>233</v>
      </c>
      <c r="G7" s="58" t="s">
        <v>23</v>
      </c>
      <c r="H7" s="58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7228</v>
      </c>
      <c r="C9" s="15" t="s">
        <v>7229</v>
      </c>
      <c r="D9" s="15" t="s">
        <v>7230</v>
      </c>
      <c r="E9" s="15" t="s">
        <v>7231</v>
      </c>
      <c r="F9" s="15" t="s">
        <v>7232</v>
      </c>
      <c r="G9" s="15" t="s">
        <v>7233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7234</v>
      </c>
    </row>
    <row r="19" spans="1:10" ht="22.5" customHeight="1" x14ac:dyDescent="0.15">
      <c r="A19" s="14" t="s">
        <v>234</v>
      </c>
      <c r="B19" s="15" t="s">
        <v>7235</v>
      </c>
      <c r="C19" s="15" t="s">
        <v>7236</v>
      </c>
      <c r="D19" s="15" t="s">
        <v>7237</v>
      </c>
      <c r="E19" s="15" t="s">
        <v>7238</v>
      </c>
      <c r="F19" s="15" t="s">
        <v>7223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C5E5-9819-FA44-8B0B-8C062FFF1F8C}">
  <sheetPr codeName="Tabelle4"/>
  <dimension ref="A1:E8"/>
  <sheetViews>
    <sheetView workbookViewId="0">
      <selection activeCell="E14" sqref="E14"/>
    </sheetView>
  </sheetViews>
  <sheetFormatPr baseColWidth="10" defaultRowHeight="13" x14ac:dyDescent="0.15"/>
  <cols>
    <col min="1" max="1" width="4.83203125" customWidth="1"/>
    <col min="3" max="3" width="16.83203125" customWidth="1"/>
    <col min="4" max="4" width="79.5" bestFit="1" customWidth="1"/>
    <col min="5" max="5" width="68.83203125" bestFit="1" customWidth="1"/>
  </cols>
  <sheetData>
    <row r="1" spans="1:5" x14ac:dyDescent="0.15">
      <c r="A1" s="68" t="s">
        <v>7369</v>
      </c>
      <c r="B1" s="68" t="s">
        <v>7370</v>
      </c>
      <c r="C1" s="68" t="s">
        <v>7371</v>
      </c>
      <c r="D1" s="68" t="s">
        <v>7372</v>
      </c>
      <c r="E1" s="68" t="s">
        <v>7373</v>
      </c>
    </row>
    <row r="2" spans="1:5" x14ac:dyDescent="0.15">
      <c r="A2" s="66" t="s">
        <v>7343</v>
      </c>
      <c r="B2" s="66" t="s">
        <v>7344</v>
      </c>
      <c r="C2" s="67">
        <v>46070.439583333333</v>
      </c>
      <c r="D2" s="66" t="s">
        <v>7345</v>
      </c>
      <c r="E2" s="66" t="s">
        <v>7346</v>
      </c>
    </row>
    <row r="3" spans="1:5" x14ac:dyDescent="0.15">
      <c r="A3" s="66" t="s">
        <v>7343</v>
      </c>
      <c r="B3" s="66" t="s">
        <v>7344</v>
      </c>
      <c r="C3" s="67">
        <v>46070.443055555559</v>
      </c>
      <c r="D3" s="66" t="s">
        <v>7374</v>
      </c>
      <c r="E3" s="66" t="s">
        <v>7375</v>
      </c>
    </row>
    <row r="4" spans="1:5" x14ac:dyDescent="0.15">
      <c r="A4" s="66" t="s">
        <v>7343</v>
      </c>
      <c r="B4" s="66" t="s">
        <v>7344</v>
      </c>
      <c r="C4" s="67">
        <v>46070.443055555559</v>
      </c>
      <c r="D4" s="66" t="s">
        <v>7345</v>
      </c>
      <c r="E4" s="66" t="s">
        <v>7346</v>
      </c>
    </row>
    <row r="5" spans="1:5" x14ac:dyDescent="0.15">
      <c r="A5" s="66" t="s">
        <v>7343</v>
      </c>
      <c r="B5" s="66" t="s">
        <v>7344</v>
      </c>
      <c r="C5" s="67">
        <v>46070.443055555559</v>
      </c>
      <c r="D5" s="66" t="s">
        <v>7376</v>
      </c>
      <c r="E5" s="66" t="s">
        <v>7377</v>
      </c>
    </row>
    <row r="6" spans="1:5" x14ac:dyDescent="0.15">
      <c r="A6" s="66" t="s">
        <v>7343</v>
      </c>
      <c r="B6" s="66" t="s">
        <v>7344</v>
      </c>
      <c r="C6" s="67">
        <v>46070.465277777781</v>
      </c>
      <c r="D6" s="66" t="s">
        <v>7374</v>
      </c>
      <c r="E6" s="66" t="s">
        <v>7375</v>
      </c>
    </row>
    <row r="7" spans="1:5" x14ac:dyDescent="0.15">
      <c r="A7" s="66" t="s">
        <v>7343</v>
      </c>
      <c r="B7" s="66" t="s">
        <v>7344</v>
      </c>
      <c r="C7" s="67">
        <v>46070.465277777781</v>
      </c>
      <c r="D7" s="66" t="s">
        <v>7345</v>
      </c>
      <c r="E7" s="66" t="s">
        <v>7346</v>
      </c>
    </row>
    <row r="8" spans="1:5" x14ac:dyDescent="0.15">
      <c r="A8" s="66" t="s">
        <v>7343</v>
      </c>
      <c r="B8" s="66" t="s">
        <v>7344</v>
      </c>
      <c r="C8" s="67">
        <v>46070.465277777781</v>
      </c>
      <c r="D8" s="66" t="s">
        <v>7376</v>
      </c>
      <c r="E8" s="66" t="s">
        <v>7377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PLZ</vt:lpstr>
      <vt:lpstr>Stats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NEUMANN, STEFFEN</cp:lastModifiedBy>
  <cp:revision/>
  <dcterms:created xsi:type="dcterms:W3CDTF">2026-01-24T07:44:25Z</dcterms:created>
  <dcterms:modified xsi:type="dcterms:W3CDTF">2026-02-17T10:11:07Z</dcterms:modified>
  <cp:category/>
  <cp:contentStatus/>
</cp:coreProperties>
</file>