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8_{6507704E-6C87-134A-BD18-AC169FD70876}" xr6:coauthVersionLast="47" xr6:coauthVersionMax="47" xr10:uidLastSave="{00000000-0000-0000-0000-000000000000}"/>
  <bookViews>
    <workbookView xWindow="38500" yWindow="900" windowWidth="38200" windowHeight="2128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r:id="rId5"/>
  </sheets>
  <definedNames>
    <definedName name="LEAD_FOLDER">Berechnung!$B$15</definedName>
    <definedName name="LEAD_MAILBOX">Berechnung!$B$12</definedName>
    <definedName name="mailpath">Berechnung!$B$7</definedName>
    <definedName name="PLZ_Liste">PLZ!$A$1:$B$9755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0" authorId="0" shapeId="0" xr:uid="{122D0E7F-1DA1-064A-8214-7CE196837461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1" authorId="0" shapeId="0" xr:uid="{C7D422FB-16A7-AB45-AD9A-8BF376587E01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2" authorId="0" shapeId="0" xr:uid="{01FD7D2A-F6FC-1041-BA8F-04F324CBE975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3" authorId="0" shapeId="0" xr:uid="{767D4F81-22C6-B94C-A656-5E16969D6A46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4" authorId="0" shapeId="0" xr:uid="{7CEB71FA-D967-B745-B3F5-0CF8017129D7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5" authorId="0" shapeId="0" xr:uid="{62778499-FE88-9E4A-9BB1-18C5F888692F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  <comment ref="A146" authorId="0" shapeId="0" xr:uid="{96856375-E797-0846-A2E6-5E64884DF462}">
      <text>
        <r>
          <rPr>
            <sz val="10"/>
            <color rgb="FF000000"/>
            <rFont val="Tahoma"/>
            <family val="2"/>
          </rPr>
          <t>Automatischer Import vom: 18.02.26 09.16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<sst xmlns="http://schemas.openxmlformats.org/spreadsheetml/2006/main" count="10950" uniqueCount="7239">
  <si>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</si>
  <si>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</si>
  <si>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</si>
  <si>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</si>
  <si>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</si>
  <si>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</si>
  <si>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</si>
  <si>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</si>
  <si>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</si>
  <si>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</si>
  <si>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</si>
  <si>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</si>
  <si>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</si>
  <si>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</si>
  <si>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</si>
  <si>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</si>
  <si>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</si>
  <si>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</si>
  <si>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</si>
  <si>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</si>
  <si>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</si>
  <si>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</si>
  <si>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</si>
  <si>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</si>
  <si>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</si>
  <si>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</si>
  <si>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</si>
  <si>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</si>
  <si>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</si>
  <si>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</si>
  <si>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</si>
  <si>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</si>
  <si>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</si>
  <si>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</si>
  <si>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</si>
  <si>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</si>
  <si>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</si>
  <si>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</si>
  <si>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</si>
  <si>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</si>
  <si>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</si>
  <si>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</si>
  <si>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</si>
  <si>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</si>
  <si>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</si>
  <si>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</si>
  <si>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</si>
  <si>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</si>
  <si>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</si>
  <si>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</si>
  <si>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</si>
  <si>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</si>
  <si>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</si>
  <si>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</si>
  <si>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</si>
  <si>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</si>
  <si>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</si>
  <si>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</si>
  <si>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</si>
  <si>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</si>
  <si>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</si>
  <si>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</si>
  <si>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</si>
  <si>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</si>
  <si>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</si>
  <si>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</si>
  <si>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</si>
  <si>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</si>
  <si>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</si>
  <si>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</si>
  <si>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</si>
  <si>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</si>
  <si>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</si>
  <si>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</si>
  <si>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</si>
  <si>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</si>
  <si>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</si>
  <si>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</si>
  <si>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</si>
  <si>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</si>
  <si>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</si>
  <si>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</si>
  <si>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</si>
  <si>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</si>
  <si>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</si>
  <si>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</si>
  <si>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</si>
  <si>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</si>
  <si>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</si>
  <si>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</si>
  <si>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</si>
  <si>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</si>
  <si>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</si>
  <si>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</si>
  <si>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</si>
  <si>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</si>
  <si>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</si>
  <si>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</si>
  <si>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</si>
  <si>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</si>
  <si>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</si>
  <si>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</si>
  <si>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</si>
  <si>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</si>
  <si>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</si>
  <si>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</si>
  <si>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</si>
  <si>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</si>
  <si>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</si>
  <si>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</si>
  <si>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</si>
  <si>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</si>
  <si>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</si>
  <si>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</si>
  <si>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</si>
  <si>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</si>
  <si>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</si>
  <si>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</si>
  <si>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</si>
  <si>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</si>
  <si>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</si>
  <si>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</si>
  <si>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</si>
  <si>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</si>
  <si>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</si>
  <si>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</si>
  <si>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</si>
  <si>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</si>
  <si>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</si>
  <si>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</si>
  <si>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</si>
  <si>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</si>
  <si>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</si>
  <si>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</si>
  <si>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</si>
  <si>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</si>
  <si>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</si>
  <si>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</si>
  <si>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</si>
  <si>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</si>
  <si>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</si>
  <si>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</si>
  <si>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</si>
  <si>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</si>
  <si>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</si>
  <si>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</si>
  <si>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</si>
  <si>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</si>
  <si>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</si>
  <si>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</si>
  <si>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</si>
  <si>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</si>
  <si>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</si>
  <si>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</si>
  <si>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</si>
  <si>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</si>
  <si>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</si>
  <si>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</si>
  <si>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</si>
  <si>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</si>
  <si>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</si>
  <si>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</si>
  <si>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</si>
  <si>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</si>
  <si>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</si>
  <si>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</si>
  <si>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</si>
  <si>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</si>
  <si>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</si>
  <si>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</si>
  <si>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</si>
  <si>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</si>
  <si>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</si>
  <si>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</si>
  <si>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</si>
  <si>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</si>
  <si>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</si>
  <si>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</si>
  <si>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</si>
  <si>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</si>
  <si>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</si>
  <si>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</si>
  <si>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</si>
  <si>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</si>
  <si>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</si>
  <si>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</si>
  <si>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</si>
  <si>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</si>
  <si>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</si>
  <si>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</si>
  <si>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</si>
  <si>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</si>
  <si>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</si>
  <si>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</si>
  <si>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</si>
  <si>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</si>
  <si>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</si>
  <si>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</si>
  <si>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</si>
  <si>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</si>
  <si>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</si>
  <si>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</si>
  <si>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</si>
  <si>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</si>
  <si>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</si>
  <si>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</si>
  <si>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</si>
  <si>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</si>
  <si>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</si>
  <si>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</si>
  <si>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</si>
  <si>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</si>
  <si>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</si>
  <si>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</si>
  <si>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</si>
  <si>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</si>
  <si>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</si>
  <si>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</si>
  <si>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</si>
  <si>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</si>
  <si>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</si>
  <si>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</si>
  <si>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</si>
  <si>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</si>
  <si>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</si>
  <si>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</si>
  <si>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</si>
  <si>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</si>
  <si>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</si>
  <si>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</si>
  <si>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</si>
  <si>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</si>
  <si>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</si>
  <si>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</si>
  <si>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</si>
  <si>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</si>
  <si>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</si>
  <si>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</si>
  <si>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</si>
  <si>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</si>
  <si>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</si>
  <si>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</si>
  <si>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</si>
  <si>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</si>
  <si>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</si>
  <si>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</si>
  <si>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</si>
  <si>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</si>
  <si>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</si>
  <si>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</si>
  <si>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</si>
  <si>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</si>
  <si>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</si>
  <si>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</si>
  <si>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</si>
  <si>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</si>
  <si>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</si>
  <si>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</si>
  <si>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</si>
  <si>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</si>
  <si>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</si>
  <si>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</si>
  <si>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</si>
  <si>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</si>
  <si>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</si>
  <si>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</si>
  <si>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</si>
  <si>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</si>
  <si>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</si>
  <si>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</si>
  <si>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</si>
  <si>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</si>
  <si>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</si>
  <si>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</si>
  <si>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</si>
  <si>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</si>
  <si>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</si>
  <si>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</si>
  <si>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</si>
  <si>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</si>
  <si>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</si>
  <si>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</si>
  <si>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</si>
  <si>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</si>
  <si>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</si>
  <si>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</si>
  <si>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</si>
  <si>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</si>
  <si>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</si>
  <si>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</si>
  <si>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</si>
  <si>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</si>
  <si>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</si>
  <si>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</si>
  <si>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</si>
  <si>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</si>
  <si>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</si>
  <si>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</si>
  <si>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</si>
  <si>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</si>
  <si>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</si>
  <si>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</si>
  <si>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</si>
  <si>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</si>
  <si>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</si>
  <si>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</si>
  <si>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</si>
  <si>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</si>
  <si>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</si>
  <si>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</si>
  <si>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</si>
  <si>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</si>
  <si>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</si>
  <si>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</si>
  <si>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</si>
  <si>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</si>
  <si>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</si>
  <si>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</si>
  <si>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</si>
  <si>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</si>
  <si>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</si>
  <si>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</si>
  <si>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</si>
  <si>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</si>
  <si>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</si>
  <si>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</si>
  <si>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</si>
  <si>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</si>
  <si>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</si>
  <si>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</si>
  <si>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</si>
  <si>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</si>
  <si>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</si>
  <si>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</si>
  <si>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</si>
  <si>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</si>
  <si>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</si>
  <si>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</si>
  <si>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</si>
  <si>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</si>
  <si>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</si>
  <si>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</si>
  <si>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</si>
  <si>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</si>
  <si>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</si>
  <si>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</si>
  <si>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</si>
  <si>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</si>
  <si>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</si>
  <si>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</si>
  <si>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</si>
  <si>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</si>
  <si>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</si>
  <si>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</si>
  <si>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</si>
  <si>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</si>
  <si>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</si>
  <si>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</si>
  <si>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</si>
  <si>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</si>
  <si>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</si>
  <si>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</si>
  <si>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</si>
  <si>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</si>
  <si>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</si>
  <si>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</si>
  <si>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</si>
  <si>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</si>
  <si>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</si>
  <si>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</si>
  <si>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</si>
  <si>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</si>
  <si>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</si>
  <si>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</si>
  <si>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</si>
  <si>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</si>
  <si>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</si>
  <si>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</si>
  <si>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</si>
  <si>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</si>
  <si>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</si>
  <si>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</si>
  <si>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</si>
  <si>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</si>
  <si>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</si>
  <si>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</si>
  <si>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</si>
  <si>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</si>
  <si>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</si>
  <si>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</si>
  <si>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</si>
  <si>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</si>
  <si>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</si>
  <si>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</si>
  <si>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</si>
  <si>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</si>
  <si>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</si>
  <si>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</si>
  <si>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</si>
  <si>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</si>
  <si>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</si>
  <si>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</si>
  <si>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</si>
  <si>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</si>
  <si>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</si>
  <si>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</si>
  <si>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</si>
  <si>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</si>
  <si>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</si>
  <si>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</si>
  <si>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</si>
  <si>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</si>
  <si>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</si>
  <si>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</si>
  <si>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</si>
  <si>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</si>
  <si>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</si>
  <si>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</si>
  <si>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</si>
  <si>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</si>
  <si>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</si>
  <si>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</si>
  <si>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</si>
  <si>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</si>
  <si>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</si>
  <si>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</si>
  <si>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</si>
  <si>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</si>
  <si>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</si>
  <si>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</si>
  <si>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</si>
  <si>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</si>
  <si>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</si>
  <si>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</si>
  <si>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</si>
  <si>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</si>
  <si>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</si>
  <si>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</si>
  <si>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</si>
  <si>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</si>
  <si>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</si>
  <si>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</si>
  <si>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</si>
  <si>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</si>
  <si>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</si>
  <si>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</si>
  <si>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</si>
  <si>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</si>
  <si>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</si>
  <si>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</si>
  <si>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</si>
  <si>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</si>
  <si>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</si>
  <si>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</si>
  <si>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</si>
  <si>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</si>
  <si>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</si>
  <si>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</si>
  <si>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</si>
  <si>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</si>
  <si>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</si>
  <si>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</si>
  <si>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</si>
  <si>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</si>
  <si>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</si>
  <si>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</si>
  <si>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</si>
  <si>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</si>
  <si>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</si>
  <si>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</si>
  <si>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</si>
  <si>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</si>
  <si>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</si>
  <si>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</si>
  <si>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</si>
  <si>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</si>
  <si>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</si>
  <si>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</si>
  <si>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</si>
  <si>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</si>
  <si>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</si>
  <si>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</si>
  <si>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</si>
  <si>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</si>
  <si>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</si>
  <si>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</si>
  <si>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</si>
  <si>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</si>
  <si>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</si>
  <si>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</si>
  <si>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</si>
  <si>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</si>
  <si>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</si>
  <si>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</si>
  <si>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</si>
  <si>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</si>
  <si>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</si>
  <si>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</si>
  <si>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</si>
  <si>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</si>
  <si>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</si>
  <si>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</si>
  <si>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</si>
  <si>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</si>
  <si>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</si>
  <si>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</si>
  <si>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</si>
  <si>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</si>
  <si>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</si>
  <si>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</si>
  <si>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</si>
  <si>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</si>
  <si>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</si>
  <si>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</si>
  <si>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</si>
  <si>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</si>
  <si>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</si>
  <si>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</si>
  <si>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</si>
  <si>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</si>
  <si>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</si>
  <si>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</si>
  <si>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</si>
  <si>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</si>
  <si>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</si>
  <si>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</si>
  <si>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</si>
  <si>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</si>
  <si>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</si>
  <si>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</si>
  <si>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</si>
  <si>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</si>
  <si>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</si>
  <si>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</si>
  <si>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</si>
  <si>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</si>
  <si>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</si>
  <si>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</si>
  <si>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</si>
  <si>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</si>
  <si>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</si>
  <si>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</si>
  <si>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</si>
  <si>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</si>
  <si>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</si>
  <si>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</si>
  <si>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</si>
  <si>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</si>
  <si>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</si>
  <si>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</si>
  <si>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</si>
  <si>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</si>
  <si>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</si>
  <si>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</si>
  <si>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</si>
  <si>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</si>
  <si>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</si>
  <si>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</si>
  <si>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</si>
  <si>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</si>
  <si>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</si>
  <si>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</si>
  <si>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</si>
  <si>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</si>
  <si>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</si>
  <si>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</si>
  <si>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</si>
  <si>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</si>
  <si>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</si>
  <si>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</si>
  <si>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</si>
  <si>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</si>
  <si>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</si>
  <si>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</si>
  <si>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</si>
  <si>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</si>
  <si>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</si>
  <si>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</si>
  <si>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</si>
  <si>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</si>
  <si>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</si>
  <si>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</si>
  <si>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</si>
  <si>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</si>
  <si>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</si>
  <si>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</si>
  <si>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</si>
  <si>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</si>
  <si>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</si>
  <si>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</si>
  <si>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</si>
  <si>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</si>
  <si>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</si>
  <si>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</si>
  <si>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</si>
  <si>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</si>
  <si>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</si>
  <si>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</si>
  <si>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</si>
  <si>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</si>
  <si>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</si>
  <si>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</si>
  <si>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</si>
  <si>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</si>
  <si>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</si>
  <si>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</si>
  <si>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</si>
  <si>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</si>
  <si>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</si>
  <si>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</si>
  <si>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</si>
  <si>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</si>
  <si>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</si>
  <si>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</si>
  <si>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</si>
  <si>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</si>
  <si>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</si>
  <si>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</si>
  <si>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</si>
  <si>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</si>
  <si>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</si>
  <si>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</si>
  <si>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</si>
  <si>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</si>
  <si>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</si>
  <si>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</si>
  <si>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</si>
  <si>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</si>
  <si>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</si>
  <si>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</si>
  <si>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</si>
  <si>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</si>
  <si>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</si>
  <si>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</si>
  <si>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</si>
  <si>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</si>
  <si>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</si>
  <si>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</si>
  <si>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</si>
  <si>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</si>
  <si>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</si>
  <si>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</si>
  <si>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</si>
  <si>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</si>
  <si>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</si>
  <si>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</si>
  <si>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</si>
  <si>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</si>
  <si>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</si>
  <si>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</si>
  <si>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</si>
  <si>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</si>
  <si>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</si>
  <si>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</si>
  <si>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</si>
  <si>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</si>
  <si>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</si>
  <si>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</si>
  <si>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</si>
  <si>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</si>
  <si>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</si>
  <si>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</si>
  <si>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</si>
  <si>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</si>
  <si>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</si>
  <si>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</si>
  <si>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</si>
  <si>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</si>
  <si>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</si>
  <si>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</si>
  <si>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</si>
  <si>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</si>
  <si>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</si>
  <si>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</si>
  <si>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</si>
  <si>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</si>
  <si>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</si>
  <si>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</si>
  <si>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</si>
  <si>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</si>
  <si>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</si>
  <si>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</si>
  <si>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</si>
  <si>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</si>
  <si>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</si>
  <si>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</si>
  <si>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</si>
  <si>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</si>
  <si>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</si>
  <si>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</si>
  <si>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</si>
  <si>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</si>
  <si>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</si>
  <si>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</si>
  <si>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</si>
  <si>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</si>
  <si>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</si>
  <si>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</si>
  <si>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</si>
  <si>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</si>
  <si>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</si>
  <si>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</si>
  <si>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</si>
  <si>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</si>
  <si>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</si>
  <si>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</si>
  <si>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</si>
  <si>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</si>
  <si>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</si>
  <si>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</si>
  <si>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</si>
  <si>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</si>
  <si>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</si>
  <si>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</si>
  <si>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</si>
  <si>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</si>
  <si>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</si>
  <si>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</si>
  <si>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</si>
  <si>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</si>
  <si>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</si>
  <si>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</si>
  <si>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</si>
  <si>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</si>
  <si>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</si>
  <si>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</si>
  <si>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</si>
  <si>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</si>
  <si>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</si>
  <si>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</si>
  <si>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</si>
  <si>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</si>
  <si>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</si>
  <si>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</si>
  <si>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</si>
  <si>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</si>
  <si>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</si>
  <si>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</si>
  <si>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</si>
  <si>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</si>
  <si>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</si>
  <si>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</si>
  <si>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</si>
  <si>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</si>
  <si>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</si>
  <si>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</si>
  <si>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</si>
  <si>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</si>
  <si>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</si>
  <si>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</si>
  <si>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</si>
  <si>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</si>
  <si>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</si>
  <si>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</si>
  <si>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</si>
  <si>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</si>
  <si>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</si>
  <si>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</si>
  <si>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</si>
  <si>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</si>
  <si>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</si>
  <si>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</si>
  <si>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</si>
  <si>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</si>
  <si>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</si>
  <si>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</si>
  <si>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</si>
  <si>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</si>
  <si>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</si>
  <si>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</si>
  <si>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</si>
  <si>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</si>
  <si>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</si>
  <si>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</si>
  <si>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</si>
  <si>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</si>
  <si>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</si>
  <si>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</si>
  <si>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</si>
  <si>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</si>
  <si>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</si>
  <si>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</si>
  <si>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</si>
  <si>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</si>
  <si>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</si>
  <si>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</si>
  <si>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</si>
  <si>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</si>
  <si>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</si>
  <si>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</si>
  <si>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</si>
  <si>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</si>
  <si>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</si>
  <si>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</si>
  <si>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</si>
  <si>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</si>
  <si>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</si>
  <si>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</si>
  <si>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</si>
  <si>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</si>
  <si>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</si>
  <si>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</si>
  <si>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</si>
  <si>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</si>
  <si>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</si>
  <si>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</si>
  <si>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</si>
  <si>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</si>
  <si>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</si>
  <si>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</si>
  <si>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</si>
  <si>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</si>
  <si>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</si>
  <si>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</si>
  <si>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</si>
  <si>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</si>
  <si>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</si>
  <si>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</si>
  <si>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</si>
  <si>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</si>
  <si>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</si>
  <si>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</si>
  <si>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</si>
  <si>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</si>
  <si>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</si>
  <si>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</si>
  <si>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</si>
  <si>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</si>
  <si>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</si>
  <si>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</si>
  <si>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</si>
  <si>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</si>
  <si>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</si>
  <si>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</si>
  <si>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</si>
  <si>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</si>
  <si>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</si>
  <si>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</si>
  <si>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</si>
  <si>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</si>
  <si>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</si>
  <si>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</si>
  <si>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</si>
  <si>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</si>
  <si>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</si>
  <si>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</si>
  <si>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</si>
  <si>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</si>
  <si>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</si>
  <si>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</si>
  <si>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</si>
  <si>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</si>
  <si>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</si>
  <si>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</si>
  <si>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</si>
  <si>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</si>
  <si>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</si>
  <si>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</si>
  <si>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</si>
  <si>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</si>
  <si>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</si>
  <si>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</si>
  <si>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</si>
  <si>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</si>
  <si>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</si>
  <si>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</si>
  <si>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</si>
  <si>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</si>
  <si>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</si>
  <si>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</si>
  <si>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</si>
  <si>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</si>
  <si>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</si>
  <si>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</si>
  <si>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</si>
  <si>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</si>
  <si>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</si>
  <si>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</si>
  <si>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</si>
  <si>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</si>
  <si>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</si>
  <si>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</si>
  <si>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</si>
  <si>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</si>
  <si>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</si>
  <si>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</si>
  <si>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</si>
  <si>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</si>
  <si>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</si>
  <si>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</si>
  <si>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</si>
  <si>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</si>
  <si>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</si>
  <si>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</si>
  <si>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</si>
  <si>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</si>
  <si>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</si>
  <si>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</si>
  <si>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</si>
  <si>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</si>
  <si>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</si>
  <si>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</si>
  <si>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</si>
  <si>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</si>
  <si>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</si>
  <si>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</si>
  <si>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</si>
  <si>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</si>
  <si>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</si>
  <si>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</si>
  <si>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</si>
  <si>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</si>
  <si>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</si>
  <si>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</si>
  <si>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</si>
  <si>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</si>
  <si>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</si>
  <si>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</si>
  <si>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</si>
  <si>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</si>
  <si>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</si>
  <si>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</si>
  <si>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</si>
  <si>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</si>
  <si>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</si>
  <si>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</si>
  <si>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</si>
  <si>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</si>
  <si>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</si>
  <si>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</si>
  <si>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</si>
  <si>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</si>
  <si>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</si>
  <si>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</si>
  <si>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</si>
  <si>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</si>
  <si>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</si>
  <si>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</si>
  <si>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</si>
  <si>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</si>
  <si>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</si>
  <si>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</si>
  <si>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</si>
  <si>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</si>
  <si>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</si>
  <si>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</si>
  <si>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</si>
  <si>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</si>
  <si>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</si>
  <si>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</si>
  <si>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</si>
  <si>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</si>
  <si>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</si>
  <si>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</si>
  <si>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</si>
  <si>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</si>
  <si>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</si>
  <si>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</si>
  <si>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</si>
  <si>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</si>
  <si>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</si>
  <si>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</si>
  <si>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</si>
  <si>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</si>
  <si>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</si>
  <si>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</si>
  <si>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</si>
  <si>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</si>
  <si>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</si>
  <si>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</si>
  <si>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</si>
  <si>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</si>
  <si>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</si>
  <si>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</si>
  <si>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</si>
  <si>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</si>
  <si>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</si>
  <si>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</si>
  <si>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</si>
  <si>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</si>
  <si>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</si>
  <si>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</si>
  <si>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</si>
  <si>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</si>
  <si>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</si>
  <si>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</si>
  <si>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</si>
  <si>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</si>
  <si>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</si>
  <si>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</si>
  <si>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</si>
  <si>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</si>
  <si>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</si>
  <si>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</si>
  <si>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</si>
  <si>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</si>
  <si>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</si>
  <si>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</si>
  <si>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</si>
  <si>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</si>
  <si>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</si>
  <si>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</si>
  <si>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</si>
  <si>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</si>
  <si>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</si>
  <si>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</si>
  <si>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</si>
  <si>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</si>
  <si>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</si>
  <si>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</si>
  <si>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</si>
  <si>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</si>
  <si>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</si>
  <si>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</si>
  <si>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</si>
  <si>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</si>
  <si>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</si>
  <si>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</si>
  <si>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</si>
  <si>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</si>
  <si>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</si>
  <si>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</si>
  <si>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</si>
  <si>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</si>
  <si>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</si>
  <si>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</si>
  <si>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</si>
  <si>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</si>
  <si>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</si>
  <si>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</si>
  <si>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</si>
  <si>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</si>
  <si>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</si>
  <si>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</si>
  <si>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</si>
  <si>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</si>
  <si>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</si>
  <si>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</si>
  <si>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</si>
  <si>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</si>
  <si>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</si>
  <si>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</si>
  <si>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</si>
  <si>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</si>
  <si>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</si>
  <si>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</si>
  <si>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</si>
  <si>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</si>
  <si>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</si>
  <si>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</si>
  <si>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</si>
  <si>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</si>
  <si>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</si>
  <si>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</si>
  <si>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</si>
  <si>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</si>
  <si>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</si>
  <si>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</si>
  <si>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</si>
  <si>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</si>
  <si>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</si>
  <si>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</si>
  <si>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</si>
  <si>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</si>
  <si>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</si>
  <si>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</si>
  <si>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</si>
  <si>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</si>
  <si>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</si>
  <si>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</si>
  <si>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</si>
  <si>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</si>
  <si>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</si>
  <si>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</si>
  <si>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</si>
  <si>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</si>
  <si>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</si>
  <si>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</si>
  <si>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</si>
  <si>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</si>
  <si>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</si>
  <si>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</si>
  <si>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</si>
  <si>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</si>
  <si>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</si>
  <si>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</si>
  <si>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</si>
  <si>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</si>
  <si>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</si>
  <si>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</si>
  <si>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</si>
  <si>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</si>
  <si>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</si>
  <si>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</si>
  <si>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</si>
  <si>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</si>
  <si>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</si>
  <si>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</si>
  <si>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</si>
  <si>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</si>
  <si>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</si>
  <si>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</si>
  <si>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</si>
  <si>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</si>
  <si>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</si>
  <si>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</si>
  <si>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</si>
  <si>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</si>
  <si>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</si>
  <si>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</si>
  <si>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</si>
  <si>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</si>
  <si>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</si>
  <si>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</si>
  <si>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</si>
  <si>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</si>
  <si>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</si>
  <si>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</si>
  <si>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</si>
  <si>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</si>
  <si>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</si>
  <si>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</si>
  <si>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</si>
  <si>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</si>
  <si>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</si>
  <si>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</si>
  <si>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</si>
  <si>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</si>
  <si>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</si>
  <si>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</si>
  <si>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</si>
  <si>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</si>
  <si>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</si>
  <si>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</si>
  <si>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</si>
  <si>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</si>
  <si>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</si>
  <si>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</si>
  <si>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</si>
  <si>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</si>
  <si>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</si>
  <si>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</si>
  <si>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</si>
  <si>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</si>
  <si>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</si>
  <si>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</si>
  <si>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</si>
  <si>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</si>
  <si>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</si>
  <si>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</si>
  <si>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</si>
  <si>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</si>
  <si>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</si>
  <si>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</si>
  <si>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</si>
  <si>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</si>
  <si>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</si>
  <si>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</si>
  <si>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</si>
  <si>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</si>
  <si>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</si>
  <si>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</si>
  <si>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</si>
  <si>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</si>
  <si>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</si>
  <si>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</si>
  <si>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</si>
  <si>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</si>
  <si>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</si>
  <si>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</si>
  <si>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</si>
  <si>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</si>
  <si>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</si>
  <si>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</si>
  <si>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</si>
  <si>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</si>
  <si>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</si>
  <si>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</si>
  <si>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</si>
  <si>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</si>
  <si>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</si>
  <si>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</si>
  <si>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</si>
  <si>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</si>
  <si>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</si>
  <si>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</si>
  <si>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</si>
  <si>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</si>
  <si>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</si>
  <si>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</si>
  <si>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</si>
  <si>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</si>
  <si>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</si>
  <si>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</si>
  <si>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</si>
  <si>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</si>
  <si>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</si>
  <si>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</si>
  <si>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</si>
  <si>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</si>
  <si>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</si>
  <si>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</si>
  <si>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</si>
  <si>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</si>
  <si>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</si>
  <si>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</si>
  <si>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</si>
  <si>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</si>
  <si>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</si>
  <si>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</si>
  <si>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</si>
  <si>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</si>
  <si>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</si>
  <si>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</si>
  <si>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</si>
  <si>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</si>
  <si>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</si>
  <si>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</si>
  <si>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</si>
  <si>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</si>
  <si>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</si>
  <si>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</si>
  <si>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</si>
  <si>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</si>
  <si>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</si>
  <si>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</si>
  <si>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</si>
  <si>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</si>
  <si>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</si>
  <si>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</si>
  <si>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</si>
  <si>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</si>
  <si>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</si>
  <si>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</si>
  <si>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</si>
  <si>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</si>
  <si>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</si>
  <si>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</si>
  <si>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</si>
  <si>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</si>
  <si>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</si>
  <si>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</si>
  <si>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</si>
  <si>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</si>
  <si>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</si>
  <si>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</si>
  <si>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</si>
  <si>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</si>
  <si>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</si>
  <si>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</si>
  <si>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</si>
  <si>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</si>
  <si>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</si>
  <si>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</si>
  <si>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</si>
  <si>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</si>
  <si>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</si>
  <si>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</si>
  <si>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</si>
  <si>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</si>
  <si>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</si>
  <si>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</si>
  <si>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</si>
  <si>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</si>
  <si>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</si>
  <si>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</si>
  <si>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</si>
  <si>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</si>
  <si>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</si>
  <si>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</si>
  <si>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</si>
  <si>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</si>
  <si>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</si>
  <si>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</si>
  <si>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</si>
  <si>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</si>
  <si>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</si>
  <si>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</si>
  <si>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</si>
  <si>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</si>
  <si>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</si>
  <si>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</si>
  <si>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</si>
  <si>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</si>
  <si>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</si>
  <si>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</si>
  <si>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</si>
  <si>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</si>
  <si>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</si>
  <si>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</si>
  <si>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</si>
  <si>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</si>
  <si>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</si>
  <si>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</si>
  <si>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</si>
  <si>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</si>
  <si>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</si>
  <si>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</si>
  <si>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</si>
  <si>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</si>
  <si>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</si>
  <si>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</si>
  <si>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</si>
  <si>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</si>
  <si>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</si>
  <si>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</si>
  <si>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</si>
  <si>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</si>
  <si>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</si>
  <si>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</si>
  <si>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</si>
  <si>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</si>
  <si>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</si>
  <si>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</si>
  <si>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</si>
  <si>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</si>
  <si>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</si>
  <si>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</si>
  <si>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</si>
  <si>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</si>
  <si>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</si>
  <si>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</si>
  <si>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</si>
  <si>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</si>
  <si>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</si>
  <si>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</si>
  <si>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</si>
  <si>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</si>
  <si>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</si>
  <si>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</si>
  <si>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</si>
  <si>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</si>
  <si>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</si>
  <si>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</si>
  <si>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</si>
  <si>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</si>
  <si>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</si>
  <si>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</si>
  <si>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</si>
  <si>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</si>
  <si>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</si>
  <si>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</si>
  <si>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</si>
  <si>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</si>
  <si>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</si>
  <si>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</si>
  <si>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</si>
  <si>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</si>
  <si>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</si>
  <si>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</si>
  <si>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</si>
  <si>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</si>
  <si>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</si>
  <si>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</si>
  <si>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</si>
  <si>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</si>
  <si>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</si>
  <si>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</si>
  <si>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</si>
  <si>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</si>
  <si>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</si>
  <si>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</si>
  <si>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</si>
  <si>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</si>
  <si>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</si>
  <si>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</si>
  <si>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</si>
  <si>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</si>
  <si>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</si>
  <si>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</si>
  <si>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</si>
  <si>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</si>
  <si>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</si>
  <si>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</si>
  <si>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</si>
  <si>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</si>
  <si>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</si>
  <si>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</si>
  <si>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</si>
  <si>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</si>
  <si>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</si>
  <si>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</si>
  <si>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</si>
  <si>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</si>
  <si>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</si>
  <si>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</si>
  <si>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</si>
  <si>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</si>
  <si>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</si>
  <si>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</si>
  <si>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</si>
  <si>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</si>
  <si>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</si>
  <si>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</si>
  <si>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</si>
  <si>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</si>
  <si>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</si>
  <si>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</si>
  <si>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</si>
  <si>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</si>
  <si>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</si>
  <si>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</si>
  <si>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</si>
  <si>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</si>
  <si>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</si>
  <si>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</si>
  <si>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</si>
  <si>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</si>
  <si>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</si>
  <si>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</si>
  <si>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</si>
  <si>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</si>
  <si>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</si>
  <si>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</si>
  <si>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</si>
  <si>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</si>
  <si>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</si>
  <si>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</si>
  <si>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</si>
  <si>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</si>
  <si>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</si>
  <si>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</si>
  <si>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</si>
  <si>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</si>
  <si>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</si>
  <si>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</si>
  <si>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</si>
  <si>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</si>
  <si>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</si>
  <si>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</si>
  <si>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</si>
  <si>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</si>
  <si>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</si>
  <si>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</si>
  <si>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</si>
  <si>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</si>
  <si>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</si>
  <si>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</si>
  <si>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</si>
  <si>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</si>
  <si>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</si>
  <si>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</si>
  <si>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</si>
  <si>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</si>
  <si>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</si>
  <si>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</si>
  <si>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</si>
  <si>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</si>
  <si>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</si>
  <si>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</si>
  <si>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</si>
  <si>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</si>
  <si>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</si>
  <si>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</si>
  <si>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</si>
  <si>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</si>
  <si>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</si>
  <si>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</si>
  <si>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</si>
  <si>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</si>
  <si>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</si>
  <si>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</si>
  <si>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</si>
  <si>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</si>
  <si>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</si>
  <si>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</si>
  <si>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</si>
  <si>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</si>
  <si>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</si>
  <si>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</si>
  <si>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</si>
  <si>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</si>
  <si>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</si>
  <si>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</si>
  <si>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</si>
  <si>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</si>
  <si>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</si>
  <si>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</si>
  <si>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</si>
  <si>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</si>
  <si>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</si>
  <si>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</si>
  <si>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</si>
  <si>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</si>
  <si>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</si>
  <si>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</si>
  <si>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</si>
  <si>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</si>
  <si>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</si>
  <si>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</si>
  <si>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</si>
  <si>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</si>
  <si>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</si>
  <si>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</si>
  <si>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</si>
  <si>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</si>
  <si>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</si>
  <si>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</si>
  <si>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</si>
  <si>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</si>
  <si>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</si>
  <si>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</si>
  <si>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</si>
  <si>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</si>
  <si>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</si>
  <si>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</si>
  <si>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</si>
  <si>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</si>
  <si>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</si>
  <si>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</si>
  <si>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</si>
  <si>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</si>
  <si>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</si>
  <si>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</si>
  <si>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</si>
  <si>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</si>
  <si>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</si>
  <si>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</si>
  <si>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</si>
  <si>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</si>
  <si>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</si>
  <si>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</si>
  <si>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</si>
  <si>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</si>
  <si>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</si>
  <si>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</si>
  <si>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</si>
  <si>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</si>
  <si>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</si>
  <si>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</si>
  <si>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</si>
  <si>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</si>
  <si>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</si>
  <si>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</si>
  <si>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</si>
  <si>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</si>
  <si>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</si>
  <si>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</si>
  <si>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</si>
  <si>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</si>
  <si>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</si>
  <si>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</si>
  <si>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</si>
  <si>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</si>
  <si>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</si>
  <si>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</si>
  <si>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</si>
  <si>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</si>
  <si>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</si>
  <si>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</si>
  <si>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</si>
  <si>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</si>
  <si>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</si>
  <si>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</si>
  <si>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</si>
  <si>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</si>
  <si>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</si>
  <si>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</si>
  <si>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</si>
  <si>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</si>
  <si>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</si>
  <si>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</si>
  <si>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</si>
  <si>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</si>
  <si>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</si>
  <si>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</si>
  <si>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</si>
  <si>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</si>
  <si>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</si>
  <si>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</si>
  <si>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</si>
  <si>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</si>
  <si>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</si>
  <si>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</si>
  <si>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</si>
  <si>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</si>
  <si>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</si>
  <si>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</si>
  <si>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</si>
  <si>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</si>
  <si>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</si>
  <si>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</si>
  <si>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</si>
  <si>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</si>
  <si>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</si>
  <si>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</si>
  <si>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</si>
  <si>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</si>
  <si>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</si>
  <si>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</si>
  <si>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</si>
  <si>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</si>
  <si>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</si>
  <si>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</si>
  <si>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</si>
  <si>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</si>
  <si>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</si>
  <si>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</si>
  <si>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</si>
  <si>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</si>
  <si>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</si>
  <si>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</si>
  <si>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</si>
  <si>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</si>
  <si>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</si>
  <si>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</si>
  <si>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</si>
  <si>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</si>
  <si>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</si>
  <si>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</si>
  <si>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</si>
  <si>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</si>
  <si>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</si>
  <si>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</si>
  <si>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</si>
  <si>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</si>
  <si>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</si>
  <si>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</si>
  <si>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</si>
  <si>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</si>
  <si>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</si>
  <si>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</si>
  <si>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</si>
  <si>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</si>
  <si>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</si>
  <si>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</si>
  <si>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</si>
  <si>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</si>
  <si>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</si>
  <si>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</si>
  <si>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</si>
  <si>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</si>
  <si>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</si>
  <si>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</si>
  <si>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</si>
  <si>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</si>
  <si>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</si>
  <si>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</si>
  <si>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</si>
  <si>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</si>
  <si>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</si>
  <si>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</si>
  <si>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</si>
  <si>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</si>
  <si>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</si>
  <si>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</si>
  <si>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</si>
  <si>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</si>
  <si>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</si>
  <si>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</si>
  <si>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</si>
  <si>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</si>
  <si>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</si>
  <si>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</si>
  <si>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</si>
  <si>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</si>
  <si>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</si>
  <si>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</si>
  <si>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</si>
  <si>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</si>
  <si>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</si>
  <si>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</si>
  <si>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</si>
  <si>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</si>
  <si>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</si>
  <si>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</si>
  <si>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</si>
  <si>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</si>
  <si>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</si>
  <si>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</si>
  <si>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</si>
  <si>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</si>
  <si>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</si>
  <si>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</si>
  <si>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</si>
  <si>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</si>
  <si>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</si>
  <si>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</si>
  <si>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</si>
  <si>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</si>
  <si>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</si>
  <si>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</si>
  <si>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</si>
  <si>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</si>
  <si>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</si>
  <si>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</si>
  <si>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</si>
  <si>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</si>
  <si>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</si>
  <si>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</si>
  <si>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</si>
  <si>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</si>
  <si>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</si>
  <si>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</si>
  <si>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</si>
  <si>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</si>
  <si>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</si>
  <si>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</si>
  <si>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</si>
  <si>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</si>
  <si>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</si>
  <si>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</si>
  <si>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</si>
  <si>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</si>
  <si>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</si>
  <si>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</si>
  <si>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</si>
  <si>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</si>
  <si>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</si>
  <si>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</si>
  <si>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</si>
  <si>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</si>
  <si>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</si>
  <si>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</si>
  <si>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</si>
  <si>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</si>
  <si>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</si>
  <si>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</si>
  <si>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</si>
  <si>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</si>
  <si>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</si>
  <si>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</si>
  <si>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</si>
  <si>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</si>
  <si>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</si>
  <si>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</si>
  <si>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</si>
  <si>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</si>
  <si>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</si>
  <si>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</si>
  <si>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</si>
  <si>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</si>
  <si>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</si>
  <si>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</si>
  <si>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</si>
  <si>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</si>
  <si>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</si>
  <si>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</si>
  <si>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</si>
  <si>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</si>
  <si>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</si>
  <si>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</si>
  <si>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</si>
  <si>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</si>
  <si>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</si>
  <si>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</si>
  <si>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</si>
  <si>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</si>
  <si>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</si>
  <si>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</si>
  <si>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</si>
  <si>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</si>
  <si>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</si>
  <si>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</si>
  <si>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</si>
  <si>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</si>
  <si>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</si>
  <si>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</si>
  <si>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</si>
  <si>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</si>
  <si>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</si>
  <si>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</si>
  <si>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</si>
  <si>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</si>
  <si>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</si>
  <si>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</si>
  <si>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</si>
  <si>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</si>
  <si>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</si>
  <si>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</si>
  <si>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</si>
  <si>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</si>
  <si>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</si>
  <si>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</si>
  <si>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</si>
  <si>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</si>
  <si>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</si>
  <si>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</si>
  <si>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</si>
  <si>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</si>
  <si>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</si>
  <si>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</si>
  <si>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</si>
  <si>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</si>
  <si>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</si>
  <si>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</si>
  <si>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</si>
  <si>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</si>
  <si>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</si>
  <si>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</si>
  <si>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</si>
  <si>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</si>
  <si>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</si>
  <si>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</si>
  <si>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</si>
  <si>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</si>
  <si>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</si>
  <si>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</si>
  <si>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</si>
  <si>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</si>
  <si>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</si>
  <si>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</si>
  <si>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</si>
  <si>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</si>
  <si>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</si>
  <si>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</si>
  <si>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</si>
  <si>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</si>
  <si>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</si>
  <si>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</si>
  <si>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</si>
  <si>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</si>
  <si>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</si>
  <si>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</si>
  <si>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</si>
  <si>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</si>
  <si>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</si>
  <si>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</si>
  <si>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</si>
  <si>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</si>
  <si>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</si>
  <si>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</si>
  <si>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</si>
  <si>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</si>
  <si>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</si>
  <si>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</si>
  <si>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</si>
  <si>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</si>
  <si>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</si>
  <si>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</si>
  <si>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</si>
  <si>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</si>
  <si>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</si>
  <si>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</si>
  <si>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</si>
  <si>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</si>
  <si>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</si>
  <si>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</si>
  <si>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</si>
  <si>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</si>
  <si>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</si>
  <si>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</si>
  <si>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</si>
  <si>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</si>
  <si>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</si>
  <si>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</si>
  <si>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</si>
  <si>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</si>
  <si>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</si>
  <si>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</si>
  <si>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</si>
  <si>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</si>
  <si>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</si>
  <si>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</si>
  <si>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</si>
  <si>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</si>
  <si>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</si>
  <si>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</si>
  <si>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</si>
  <si>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</si>
  <si>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</si>
  <si>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</si>
  <si>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</si>
  <si>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</si>
  <si>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</si>
  <si>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</si>
  <si>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</si>
  <si>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</si>
  <si>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</si>
  <si>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</si>
  <si>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</si>
  <si>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</si>
  <si>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</si>
  <si>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</si>
  <si>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</si>
  <si>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</si>
  <si>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</si>
  <si>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</si>
  <si>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</si>
  <si>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</si>
  <si>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</si>
  <si>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</si>
  <si>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</si>
  <si>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</si>
  <si>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</si>
  <si>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</si>
  <si>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</si>
  <si>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</si>
  <si>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</si>
  <si>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</si>
  <si>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</si>
  <si>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</si>
  <si>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</si>
  <si>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</si>
  <si>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</si>
  <si>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</si>
  <si>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</si>
  <si>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</si>
  <si>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</si>
  <si>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</si>
  <si>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</si>
  <si>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</si>
  <si>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</si>
  <si>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</si>
  <si>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</si>
  <si>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</si>
  <si>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</si>
  <si>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</si>
  <si>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</si>
  <si>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</si>
  <si>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</si>
  <si>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</si>
  <si>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</si>
  <si>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</si>
  <si>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</si>
  <si>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</si>
  <si>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</si>
  <si>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</si>
  <si>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</si>
  <si>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</si>
  <si>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</si>
  <si>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</si>
  <si>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</si>
  <si>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</si>
  <si>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</si>
  <si>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</si>
  <si>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</si>
  <si>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</si>
  <si>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</si>
  <si>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</si>
  <si>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</si>
  <si>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</si>
  <si>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</si>
  <si>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</si>
  <si>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</si>
  <si>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</si>
  <si>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</si>
  <si>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</si>
  <si>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</si>
  <si>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</si>
  <si>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</si>
  <si>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</si>
  <si>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</si>
  <si>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</si>
  <si>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</si>
  <si>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</si>
  <si>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</si>
  <si>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</si>
  <si>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</si>
  <si>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</si>
  <si>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</si>
  <si>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</si>
  <si>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</si>
  <si>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</si>
  <si>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</si>
  <si>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</si>
  <si>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</si>
  <si>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</si>
  <si>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</si>
  <si>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</si>
  <si>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</si>
  <si>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</si>
  <si>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</si>
  <si>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</si>
  <si>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</si>
  <si>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</si>
  <si>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</si>
  <si>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</si>
  <si>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</si>
  <si>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</si>
  <si>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</si>
  <si>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</si>
  <si>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</si>
  <si>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</si>
  <si>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</si>
  <si>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</si>
  <si>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</si>
  <si>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</si>
  <si>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</si>
  <si>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</si>
  <si>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</si>
  <si>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</si>
  <si>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</si>
  <si>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</si>
  <si>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</si>
  <si>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</si>
  <si>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</si>
  <si>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</si>
  <si>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</si>
  <si>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</si>
  <si>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</si>
  <si>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</si>
  <si>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</si>
  <si>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</si>
  <si>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</si>
  <si>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</si>
  <si>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</si>
  <si>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</si>
  <si>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</si>
  <si>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</si>
  <si>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</si>
  <si>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</si>
  <si>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</si>
  <si>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</si>
  <si>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</si>
  <si>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</si>
  <si>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</si>
  <si>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</si>
  <si>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</si>
  <si>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</si>
  <si>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</si>
  <si>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</si>
  <si>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</si>
  <si>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</si>
  <si>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</si>
  <si>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</si>
  <si>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</si>
  <si>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</si>
  <si>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</si>
  <si>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</si>
  <si>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</si>
  <si>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</si>
  <si>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</si>
  <si>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</si>
  <si>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</si>
  <si>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</si>
  <si>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</si>
  <si>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</si>
  <si>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</si>
  <si>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</si>
  <si>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</si>
  <si>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</si>
  <si>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</si>
  <si>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</si>
  <si>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</si>
  <si>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</si>
  <si>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</si>
  <si>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</si>
  <si>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</si>
  <si>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</si>
  <si>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</si>
  <si>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</si>
  <si>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</si>
  <si>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</si>
  <si>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</si>
  <si>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</si>
  <si>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</si>
  <si>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</si>
  <si>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</si>
  <si>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</si>
  <si>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</si>
  <si>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</si>
  <si>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</si>
  <si>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</si>
  <si>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</si>
  <si>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</si>
  <si>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</si>
  <si>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</si>
  <si>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</si>
  <si>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</si>
  <si>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</si>
  <si>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</si>
  <si>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</si>
  <si>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</si>
  <si>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</si>
  <si>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</si>
  <si>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</si>
  <si>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</si>
  <si>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</si>
  <si>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</si>
  <si>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</si>
  <si>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</si>
  <si>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</si>
  <si>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</si>
  <si>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</si>
  <si>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</si>
  <si>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</si>
  <si>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</si>
  <si>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</si>
  <si>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</si>
  <si>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</si>
  <si>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</si>
  <si>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</si>
  <si>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</si>
  <si>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</si>
  <si>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</si>
  <si>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</si>
  <si>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</si>
  <si>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</si>
  <si>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</si>
  <si>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</si>
  <si>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</si>
  <si>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</si>
  <si>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</si>
  <si>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</si>
  <si>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</si>
  <si>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</si>
  <si>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</si>
  <si>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</si>
  <si>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</si>
  <si>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</si>
  <si>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</si>
  <si>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</si>
  <si>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</si>
  <si>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</si>
  <si>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</si>
  <si>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</si>
  <si>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</si>
  <si>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</si>
  <si>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</si>
  <si>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</si>
  <si>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</si>
  <si>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</si>
  <si>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</si>
  <si>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</si>
  <si>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</si>
  <si>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</si>
  <si>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</si>
  <si>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</si>
  <si>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</si>
  <si>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</si>
  <si>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</si>
  <si>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</si>
  <si>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</si>
  <si>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</si>
  <si>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</si>
  <si>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</si>
  <si>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</si>
  <si>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</si>
  <si>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</si>
  <si>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</si>
  <si>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</si>
  <si>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</si>
  <si>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</si>
  <si>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</si>
  <si>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</si>
  <si>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</si>
  <si>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</si>
  <si>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</si>
  <si>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</si>
  <si>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</si>
  <si>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</si>
  <si>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</si>
  <si>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</si>
  <si>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</si>
  <si>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</si>
  <si>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</si>
  <si>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</si>
  <si>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</si>
  <si>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</si>
  <si>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</si>
  <si>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</si>
  <si>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</si>
  <si>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</si>
  <si>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</si>
  <si>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</si>
  <si>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</si>
  <si>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</si>
  <si>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</si>
  <si>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</si>
  <si>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</si>
  <si>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</si>
  <si>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</si>
  <si>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</si>
  <si>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</si>
  <si>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</si>
  <si>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</si>
  <si>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</si>
  <si>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</si>
  <si>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</si>
  <si>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</si>
  <si>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</si>
  <si>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</si>
  <si>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</si>
  <si>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</si>
  <si>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</si>
  <si>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</si>
  <si>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</si>
  <si>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</si>
  <si>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</si>
  <si>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</si>
  <si>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</si>
  <si>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</si>
  <si>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</si>
  <si>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</si>
  <si>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</si>
  <si>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</si>
  <si>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</si>
  <si>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</si>
  <si>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</si>
  <si>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</si>
  <si>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</si>
  <si>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</si>
  <si>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</si>
  <si>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</si>
  <si>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</si>
  <si>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</si>
  <si>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</si>
  <si>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</si>
  <si>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</si>
  <si>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</si>
  <si>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</si>
  <si>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</si>
  <si>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</si>
  <si>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</si>
  <si>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</si>
  <si>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</si>
  <si>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</si>
  <si>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</si>
  <si>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</si>
  <si>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</si>
  <si>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</si>
  <si>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</si>
  <si>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</si>
  <si>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</si>
  <si>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</si>
  <si>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</si>
  <si>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</si>
  <si>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</si>
  <si>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</si>
  <si>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</si>
  <si>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</si>
  <si>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</si>
  <si>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</si>
  <si>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</si>
  <si>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</si>
  <si>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</si>
  <si>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</si>
  <si>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</si>
  <si>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</si>
  <si>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</si>
  <si>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</si>
  <si>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</si>
  <si>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</si>
  <si>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</si>
  <si>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</si>
  <si>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</si>
  <si>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</si>
  <si>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</si>
  <si>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</si>
  <si>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</si>
  <si>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</si>
  <si>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</si>
  <si>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</si>
  <si>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</si>
  <si>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</si>
  <si>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</si>
  <si>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</si>
  <si>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</si>
  <si>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</si>
  <si>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</si>
  <si>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</si>
  <si>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</si>
  <si>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</si>
  <si>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</si>
  <si>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</si>
  <si>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</si>
  <si>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</si>
  <si>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</si>
  <si>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</si>
  <si>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</si>
  <si>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</si>
  <si>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</si>
  <si>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</si>
  <si>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</si>
  <si>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</si>
  <si>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</si>
  <si>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</si>
  <si>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</si>
  <si>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</si>
  <si>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</si>
  <si>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</si>
  <si>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</si>
  <si>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</si>
  <si>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</si>
  <si>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</si>
  <si>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</si>
  <si>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</si>
  <si>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</si>
  <si>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</si>
  <si>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</si>
  <si>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</si>
  <si>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</si>
  <si>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</si>
  <si>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</si>
  <si>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</si>
  <si>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</si>
  <si>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</si>
  <si>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</si>
  <si>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</si>
  <si>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</si>
  <si>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</si>
  <si>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</si>
  <si>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</si>
  <si>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</si>
  <si>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</si>
  <si>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</si>
  <si>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</si>
  <si>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</si>
  <si>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</si>
  <si>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</si>
  <si>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</si>
  <si>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</si>
  <si>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</si>
  <si>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</si>
  <si>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</si>
  <si>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</si>
  <si>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</si>
  <si>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</si>
  <si>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</si>
  <si>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</si>
  <si>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</si>
  <si>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</si>
  <si>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</si>
  <si>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</si>
  <si>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</si>
  <si>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</si>
  <si>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</si>
  <si>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</si>
  <si>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</si>
  <si>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</si>
  <si>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</si>
  <si>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</si>
  <si>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</si>
  <si>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</si>
  <si>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</si>
  <si>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</si>
  <si>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</si>
  <si>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</si>
  <si>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</si>
  <si>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</si>
  <si>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</si>
  <si>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</si>
  <si>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</si>
  <si>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</si>
  <si>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</si>
  <si>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</si>
  <si>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</si>
  <si>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</si>
  <si>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</si>
  <si>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</si>
  <si>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</si>
  <si>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</si>
  <si>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</si>
  <si>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</si>
  <si>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</si>
  <si>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</si>
  <si>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</si>
  <si>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</si>
  <si>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</si>
  <si>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</si>
  <si>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</si>
  <si>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</si>
  <si>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</si>
  <si>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</si>
  <si>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</si>
  <si>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</si>
  <si>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</si>
  <si>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</si>
  <si>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</si>
  <si>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</si>
  <si>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</si>
  <si>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</si>
  <si>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</si>
  <si>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</si>
  <si>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</si>
  <si>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</si>
  <si>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</si>
  <si>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</si>
  <si>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</si>
  <si>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</si>
  <si>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</si>
  <si>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</si>
  <si>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</si>
  <si>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</si>
  <si>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</si>
  <si>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</si>
  <si>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</si>
  <si>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</si>
  <si>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</si>
  <si>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</si>
  <si>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</si>
  <si>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</si>
  <si>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</si>
  <si>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</si>
  <si>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</si>
  <si>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</si>
  <si>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</si>
  <si>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</si>
  <si>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</si>
  <si>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</si>
  <si>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</si>
  <si>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</si>
  <si>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</si>
  <si>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</si>
  <si>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</si>
  <si>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</si>
  <si>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</si>
  <si>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</si>
  <si>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</si>
  <si>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</si>
  <si>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</si>
  <si>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</si>
  <si>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</si>
  <si>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</si>
  <si>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</si>
  <si>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</si>
  <si>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</si>
  <si>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</si>
  <si>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</si>
  <si>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</si>
  <si>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</si>
  <si>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</si>
  <si>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</si>
  <si>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</si>
  <si>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</si>
  <si>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</si>
  <si>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</si>
  <si>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</si>
  <si>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</si>
  <si>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</si>
  <si>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</si>
  <si>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</si>
  <si>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</si>
  <si>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</si>
  <si>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</si>
  <si>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</si>
  <si>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</si>
  <si>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</si>
  <si>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</si>
  <si>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</si>
  <si>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</si>
  <si>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</si>
  <si>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</si>
  <si>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</si>
  <si>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</si>
  <si>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</si>
  <si>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</si>
  <si>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</si>
  <si>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</si>
  <si>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</si>
  <si>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</si>
  <si>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</si>
  <si>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</si>
  <si>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</si>
  <si>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</si>
  <si>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</si>
  <si>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</si>
  <si>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</si>
  <si>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</si>
  <si>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</si>
  <si>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</si>
  <si>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</si>
  <si>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</si>
  <si>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</si>
  <si>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</si>
  <si>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</si>
  <si>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</si>
  <si>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</si>
  <si>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</si>
  <si>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</si>
  <si>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</si>
  <si>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</si>
  <si>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</si>
  <si>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</si>
  <si>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</si>
  <si>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</si>
  <si>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</si>
  <si>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</si>
  <si>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</si>
  <si>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</si>
  <si>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</si>
  <si>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</si>
  <si>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</si>
  <si>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</si>
  <si>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</si>
  <si>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</si>
  <si>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</si>
  <si>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</si>
  <si>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</si>
  <si>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</si>
  <si>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</si>
  <si>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</si>
  <si>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</si>
  <si>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</si>
  <si>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</si>
  <si>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</si>
  <si>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</si>
  <si>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</si>
  <si>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</si>
  <si>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</si>
  <si>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</si>
  <si>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</si>
  <si>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</si>
  <si>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</si>
  <si>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</si>
  <si>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</si>
  <si>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</si>
  <si>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</si>
  <si>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</si>
  <si>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</si>
  <si>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</si>
  <si>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</si>
  <si>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</si>
  <si>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</si>
  <si>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</si>
  <si>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</si>
  <si>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</si>
  <si>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</si>
  <si>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</si>
  <si>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</si>
  <si>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</si>
  <si>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</si>
  <si>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</si>
  <si>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</si>
  <si>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</si>
  <si>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</si>
  <si>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</si>
  <si>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</si>
  <si>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</si>
  <si>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</si>
  <si>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</si>
  <si>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</si>
  <si>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</si>
  <si>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</si>
  <si>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</si>
  <si>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</si>
  <si>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</si>
  <si>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</si>
  <si>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</si>
  <si>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</si>
  <si>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</si>
  <si>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</si>
  <si>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</si>
  <si>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</si>
  <si>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</si>
  <si>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</si>
  <si>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</si>
  <si>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</si>
  <si>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</si>
  <si>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</si>
  <si>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</si>
  <si>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</si>
  <si>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</si>
  <si>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</si>
  <si>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</si>
  <si>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</si>
  <si>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</si>
  <si>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</si>
  <si>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</si>
  <si>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</si>
  <si>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</si>
  <si>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</si>
  <si>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</si>
  <si>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</si>
  <si>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</si>
  <si>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</si>
  <si>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</si>
  <si>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</si>
  <si>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</si>
  <si>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</si>
  <si>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</si>
  <si>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</si>
  <si>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</si>
  <si>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</si>
  <si>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</si>
  <si>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</si>
  <si>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</si>
  <si>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</si>
  <si>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</si>
  <si>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</si>
  <si>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</si>
  <si>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</si>
  <si>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</si>
  <si>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</si>
  <si>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</si>
  <si>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</si>
  <si>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</si>
  <si>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</si>
  <si>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</si>
  <si>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</si>
  <si>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</si>
  <si>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</si>
  <si>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</si>
  <si>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</si>
  <si>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</si>
  <si>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</si>
  <si>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</si>
  <si>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</si>
  <si>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</si>
  <si>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</si>
  <si>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</si>
  <si>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</si>
  <si>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</si>
  <si>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</si>
  <si>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</si>
  <si>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</si>
  <si>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</si>
  <si>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</si>
  <si>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</si>
  <si>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</si>
  <si>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</si>
  <si>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</si>
  <si>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</si>
  <si>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</si>
  <si>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</si>
  <si>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</si>
  <si>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</si>
  <si>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</si>
  <si>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</si>
  <si>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</si>
  <si>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</si>
  <si>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</si>
  <si>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</si>
  <si>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</si>
  <si>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</si>
  <si>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</si>
  <si>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</si>
  <si>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</si>
  <si>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</si>
  <si>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</si>
  <si>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</si>
  <si>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</si>
  <si>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</si>
  <si>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</si>
  <si>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</si>
  <si>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</si>
  <si>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</si>
  <si>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</si>
  <si>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</si>
  <si>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</si>
  <si>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</si>
  <si>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</si>
  <si>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</si>
  <si>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</si>
  <si>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</si>
  <si>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</si>
  <si>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</si>
  <si>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</si>
  <si>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</si>
  <si>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</si>
  <si>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</si>
  <si>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</si>
  <si>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</si>
  <si>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</si>
  <si>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</si>
  <si>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</si>
  <si>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</si>
  <si>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</si>
  <si>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</si>
  <si>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</si>
  <si>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</si>
  <si>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</si>
  <si>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</si>
  <si>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</si>
  <si>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</si>
  <si>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</si>
  <si>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</si>
  <si>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</si>
  <si>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</si>
  <si>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</si>
  <si>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</si>
  <si>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</si>
  <si>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</si>
  <si>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</si>
  <si>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</si>
  <si>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</si>
  <si>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</si>
  <si>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</si>
  <si>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</si>
  <si>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</si>
  <si>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</si>
  <si>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</si>
  <si>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</si>
  <si>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</si>
  <si>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</si>
  <si>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</si>
  <si>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</si>
  <si>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</si>
  <si>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</si>
  <si>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</si>
  <si>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</si>
  <si>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</si>
  <si>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</si>
  <si>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</si>
  <si>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</si>
  <si>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</si>
  <si>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</si>
  <si>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</si>
  <si>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</si>
  <si>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</si>
  <si>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</si>
  <si>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</si>
  <si>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</si>
  <si>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</si>
  <si>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</si>
  <si>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</si>
  <si>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</si>
  <si>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</si>
  <si>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</si>
  <si>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</si>
  <si>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</si>
  <si>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</si>
  <si>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</si>
  <si>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</si>
  <si>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</si>
  <si>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</si>
  <si>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</si>
  <si>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</si>
  <si>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</si>
  <si>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</si>
  <si>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</si>
  <si>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</si>
  <si>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</si>
  <si>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</si>
  <si>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</si>
  <si>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</si>
  <si>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</si>
  <si>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</si>
  <si>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</si>
  <si>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</si>
  <si>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</si>
  <si>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</si>
  <si>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</si>
  <si>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</si>
  <si>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</si>
  <si>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</si>
  <si>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</si>
  <si>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</si>
  <si>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</si>
  <si>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</si>
  <si>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</si>
  <si>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</si>
  <si>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</si>
  <si>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</si>
  <si>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</si>
  <si>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</si>
  <si>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</si>
  <si>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</si>
  <si>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</si>
  <si>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</si>
  <si>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</si>
  <si>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</si>
  <si>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</si>
  <si>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</si>
  <si>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</si>
  <si>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</si>
  <si>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</si>
  <si>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</si>
  <si>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</si>
  <si>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</si>
  <si>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</si>
  <si>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</si>
  <si>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</si>
  <si>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</si>
  <si>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</si>
  <si>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</si>
  <si>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</si>
  <si>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</si>
  <si>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</si>
  <si>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</si>
  <si>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</si>
  <si>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</si>
  <si>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</si>
  <si>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</si>
  <si>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</si>
  <si>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</si>
  <si>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</si>
  <si>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</si>
  <si>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</si>
  <si>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</si>
  <si>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</si>
  <si>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</si>
  <si>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</si>
  <si>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</si>
  <si>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</si>
  <si>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</si>
  <si>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</si>
  <si>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</si>
  <si>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</si>
  <si>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</si>
  <si>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</si>
  <si>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</si>
  <si>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</si>
  <si>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</si>
  <si>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</si>
  <si>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</si>
  <si>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</si>
  <si>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</si>
  <si>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</si>
  <si>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</si>
  <si>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</si>
  <si>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</si>
  <si>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</si>
  <si>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</si>
  <si>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</si>
  <si>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</si>
  <si>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</si>
  <si>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</si>
  <si>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</si>
  <si>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</si>
  <si>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</si>
  <si>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</si>
  <si>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</si>
  <si>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</si>
  <si>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</si>
  <si>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</si>
  <si>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</si>
  <si>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</si>
  <si>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</si>
  <si>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</si>
  <si>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</si>
  <si>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</si>
  <si>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</si>
  <si>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</si>
  <si>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</si>
  <si>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</si>
  <si>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</si>
  <si>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</si>
  <si>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</si>
  <si>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</si>
  <si>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</si>
  <si>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</si>
  <si>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</si>
  <si>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</si>
  <si>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</si>
  <si>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</si>
  <si>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</si>
  <si>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</si>
  <si>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</si>
  <si>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</si>
  <si>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</si>
  <si>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</si>
  <si>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</si>
  <si>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</si>
  <si>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</si>
  <si>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</si>
  <si>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</si>
  <si>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</si>
  <si>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</si>
  <si>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</si>
  <si>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</si>
  <si>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</si>
  <si>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</si>
  <si>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</si>
  <si>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</si>
  <si>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</si>
  <si>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</si>
  <si>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</si>
  <si>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</si>
  <si>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</si>
  <si>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</si>
  <si>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</si>
  <si>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</si>
  <si>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</si>
  <si>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</si>
  <si>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</si>
  <si>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</si>
  <si>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</si>
  <si>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</si>
  <si>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</si>
  <si>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</si>
  <si>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</si>
  <si>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</si>
  <si>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</si>
  <si>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</si>
  <si>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</si>
  <si>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</si>
  <si>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</si>
  <si>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</si>
  <si>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</si>
  <si>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</si>
  <si>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</si>
  <si>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</si>
  <si>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</si>
  <si>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</si>
  <si>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</si>
  <si>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</si>
  <si>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</si>
  <si>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</si>
  <si>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</si>
  <si>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</si>
  <si>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</si>
  <si>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</si>
  <si>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</si>
  <si>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</si>
  <si>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</si>
  <si>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</si>
  <si>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</si>
  <si>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</si>
  <si>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</si>
  <si>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</si>
  <si>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</si>
  <si>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</si>
  <si>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</si>
  <si>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</si>
  <si>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</si>
  <si>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</si>
  <si>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</si>
  <si>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</si>
  <si>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</si>
  <si>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</si>
  <si>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</si>
  <si>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</si>
  <si>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</si>
  <si>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</si>
  <si>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</si>
  <si>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</si>
  <si>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</si>
  <si>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</si>
  <si>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</si>
  <si>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</si>
  <si>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</si>
  <si>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</si>
  <si>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</si>
  <si>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</si>
  <si>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</si>
  <si>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</si>
  <si>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</si>
  <si>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</si>
  <si>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</si>
  <si>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</si>
  <si>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</si>
  <si>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</si>
  <si>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</si>
  <si>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</si>
  <si>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</si>
  <si>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</si>
  <si>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</si>
  <si>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</si>
  <si>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</si>
  <si>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</si>
  <si>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</si>
  <si>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</si>
  <si>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</si>
  <si>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</si>
  <si>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</si>
  <si>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</si>
  <si>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</si>
  <si>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</si>
  <si>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</si>
  <si>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</si>
  <si>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</si>
  <si>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</si>
  <si>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</si>
  <si>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</si>
  <si>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</si>
  <si>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</si>
  <si>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</si>
  <si>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</si>
  <si>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</si>
  <si>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</si>
  <si>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</si>
  <si>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</si>
  <si>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</si>
  <si>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</si>
  <si>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</si>
  <si>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</si>
  <si>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</si>
  <si>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</si>
  <si>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</si>
  <si>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</si>
  <si>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</si>
  <si>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</si>
  <si>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</si>
  <si>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</si>
  <si>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</si>
  <si>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</si>
  <si>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</si>
  <si>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</si>
  <si>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</si>
  <si>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</si>
  <si>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</si>
  <si>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</si>
  <si>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</si>
  <si>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</si>
  <si>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</si>
  <si>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</si>
  <si>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</si>
  <si>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</si>
  <si>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</si>
  <si>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</si>
  <si>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</si>
  <si>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</si>
  <si>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</si>
  <si>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</si>
  <si>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</si>
  <si>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</si>
  <si>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</si>
  <si>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</si>
  <si>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</si>
  <si>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</si>
  <si>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</si>
  <si>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</si>
  <si>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</si>
  <si>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</si>
  <si>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</si>
  <si>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</si>
  <si>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</si>
  <si>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</si>
  <si>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</si>
  <si>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</si>
  <si>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</si>
  <si>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</si>
  <si>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</si>
  <si>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</si>
  <si>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</si>
  <si>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</si>
  <si>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</si>
  <si>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</si>
  <si>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</si>
  <si>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</si>
  <si>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</si>
  <si>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</si>
  <si>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</si>
  <si>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</si>
  <si>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</si>
  <si>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</si>
  <si>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</si>
  <si>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</si>
  <si>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</si>
  <si>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</si>
  <si>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</si>
  <si>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</si>
  <si>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</si>
  <si>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</si>
  <si>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</si>
  <si>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</si>
  <si>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</si>
  <si>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</si>
  <si>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</si>
  <si>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</si>
  <si>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</si>
  <si>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</si>
  <si>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</si>
  <si>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</si>
  <si>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</si>
  <si>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</si>
  <si>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</si>
  <si>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</si>
  <si>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</si>
  <si>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</si>
  <si>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</si>
  <si>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</si>
  <si>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</si>
  <si>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</si>
  <si>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</si>
  <si>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</si>
  <si>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</si>
  <si>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</si>
  <si>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</si>
  <si>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</si>
  <si>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</si>
  <si>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</si>
  <si>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</si>
  <si>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</si>
  <si>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</si>
  <si>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</si>
  <si>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</si>
  <si>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</si>
  <si>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</si>
  <si>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</si>
  <si>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</si>
  <si>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</si>
  <si>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</si>
  <si>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</si>
  <si>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</si>
  <si>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</si>
  <si>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</si>
  <si>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</si>
  <si>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</si>
  <si>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</si>
  <si>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</si>
  <si>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</si>
  <si>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</si>
  <si>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</si>
  <si>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</si>
  <si>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</si>
  <si>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</si>
  <si>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</si>
  <si>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</si>
  <si>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</si>
  <si>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</si>
  <si>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</si>
  <si>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</si>
  <si>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</si>
  <si>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</si>
  <si>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</si>
  <si>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</si>
  <si>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</si>
  <si>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</si>
  <si>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</si>
  <si>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</si>
  <si>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</si>
  <si>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</si>
  <si>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</si>
  <si>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</si>
  <si>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</si>
  <si>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</si>
  <si>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</si>
  <si>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</si>
  <si>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</si>
  <si>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</si>
  <si>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</si>
  <si>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</si>
  <si>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</si>
  <si>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</si>
  <si>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</si>
  <si>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</si>
  <si>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</si>
  <si>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</si>
  <si>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</si>
  <si>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</si>
  <si>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</si>
  <si>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</si>
  <si>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</si>
  <si>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</si>
  <si>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</si>
  <si>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</si>
  <si>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</si>
  <si>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</si>
  <si>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</si>
  <si>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</si>
  <si>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</si>
  <si>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</si>
  <si>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</si>
  <si>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</si>
  <si>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</si>
  <si>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</si>
  <si>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</si>
  <si>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</si>
  <si>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</si>
  <si>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</si>
  <si>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</si>
  <si>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</si>
  <si>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</si>
  <si>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</si>
  <si>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</si>
  <si>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</si>
  <si>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</si>
  <si>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</si>
  <si>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</si>
  <si>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</si>
  <si>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</si>
  <si>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</si>
  <si>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</si>
  <si>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</si>
  <si>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</si>
  <si>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</si>
  <si>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</si>
  <si>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</si>
  <si>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</si>
  <si>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</si>
  <si>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</si>
  <si>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</si>
  <si>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</si>
  <si>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</si>
  <si>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</si>
  <si>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</si>
  <si>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</si>
  <si>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</si>
  <si>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</si>
  <si>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</si>
  <si>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</si>
  <si>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</si>
  <si>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</si>
  <si>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</si>
  <si>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</si>
  <si>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</si>
  <si>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</si>
  <si>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</si>
  <si>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</si>
  <si>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</si>
  <si>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</si>
  <si>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</si>
  <si>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</si>
  <si>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</si>
  <si>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</si>
  <si>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</si>
  <si>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</si>
  <si>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</si>
  <si>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</si>
  <si>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</si>
  <si>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</si>
  <si>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</si>
  <si>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</si>
  <si>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</si>
  <si>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</si>
  <si>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</si>
  <si>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</si>
  <si>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</si>
  <si>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</si>
  <si>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</si>
  <si>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</si>
  <si>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</si>
  <si>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</si>
  <si>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</si>
  <si>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</si>
  <si>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</si>
  <si>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</si>
  <si>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</si>
  <si>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</si>
  <si>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</si>
  <si>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</si>
  <si>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</si>
  <si>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</si>
  <si>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</si>
  <si>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</si>
  <si>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</si>
  <si>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</si>
  <si>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</si>
  <si>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</si>
  <si>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</si>
  <si>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</si>
  <si>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</si>
  <si>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</si>
  <si>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</si>
  <si>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</si>
  <si>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</si>
  <si>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</si>
  <si>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</si>
  <si>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</si>
  <si>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</si>
  <si>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</si>
  <si>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</si>
  <si>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</si>
  <si>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</si>
  <si>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</si>
  <si>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</si>
  <si>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</si>
  <si>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</si>
  <si>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</si>
  <si>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</si>
  <si>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</si>
  <si>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</si>
  <si>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</si>
  <si>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</si>
  <si>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</si>
  <si>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</si>
  <si>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</si>
  <si>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</si>
  <si>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</si>
  <si>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</si>
  <si>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</si>
  <si>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</si>
  <si>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</si>
  <si>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</si>
  <si>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</si>
  <si>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</si>
  <si>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</si>
  <si>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</si>
  <si>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</si>
  <si>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</si>
  <si>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</si>
  <si>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</si>
  <si>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</si>
  <si>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</si>
  <si>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</si>
  <si>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</si>
  <si>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</si>
  <si>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</si>
  <si>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</si>
  <si>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</si>
  <si>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</si>
  <si>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</si>
  <si>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</si>
  <si>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</si>
  <si>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</si>
  <si>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</si>
  <si>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</si>
  <si>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</si>
  <si>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</si>
  <si>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</si>
  <si>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</si>
  <si>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</si>
  <si>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</si>
  <si>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</si>
  <si>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</si>
  <si>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</si>
  <si>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</si>
  <si>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</si>
  <si>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</si>
  <si>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</si>
  <si>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</si>
  <si>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</si>
  <si>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</si>
  <si>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</si>
  <si>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</si>
  <si>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</si>
  <si>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</si>
  <si>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</si>
  <si>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</si>
  <si>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</si>
  <si>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</si>
  <si>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</si>
  <si>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</si>
  <si>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</si>
  <si>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</si>
  <si>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</si>
  <si>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</si>
  <si>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</si>
  <si>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</si>
  <si>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</si>
  <si>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</si>
  <si>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</si>
  <si>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</si>
  <si>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</si>
  <si>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</si>
  <si>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</si>
  <si>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</si>
  <si>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</si>
  <si>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</si>
  <si>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</si>
  <si>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</si>
  <si>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</si>
  <si>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</si>
  <si>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</si>
  <si>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</si>
  <si>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</si>
  <si>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</si>
  <si>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</si>
  <si>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</si>
  <si>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</si>
  <si>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</si>
  <si>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</si>
  <si>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</si>
  <si>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</si>
  <si>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</si>
  <si>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</si>
  <si>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</si>
  <si>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</si>
  <si>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</si>
  <si>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</si>
  <si>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</si>
  <si>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</si>
  <si>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</si>
  <si>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</si>
  <si>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</si>
  <si>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</si>
  <si>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</si>
  <si>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</si>
  <si>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</si>
  <si>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</si>
  <si>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</si>
  <si>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</si>
  <si>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</si>
  <si>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</si>
  <si>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</si>
  <si>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</si>
  <si>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</si>
  <si>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</si>
  <si>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</si>
  <si>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</si>
  <si>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</si>
  <si>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</si>
  <si>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</si>
  <si>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</si>
  <si>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</si>
  <si>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</si>
  <si>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</si>
  <si>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</si>
  <si>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</si>
  <si>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</si>
  <si>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</si>
  <si>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</si>
  <si>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</si>
  <si>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</si>
  <si>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</si>
  <si>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</si>
  <si>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</si>
  <si>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</si>
  <si>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</si>
  <si>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</si>
  <si>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</si>
  <si>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</si>
  <si>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</si>
  <si>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</si>
  <si>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</si>
  <si>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</si>
  <si>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</si>
  <si>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</si>
  <si>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</si>
  <si>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</si>
  <si>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</si>
  <si>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</si>
  <si>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</si>
  <si>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</si>
  <si>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</si>
  <si>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</si>
  <si>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</si>
  <si>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</si>
  <si>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</si>
  <si>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</si>
  <si>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</si>
  <si>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</si>
  <si>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</si>
  <si>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</si>
  <si>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</si>
  <si>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</si>
  <si>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</si>
  <si>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</si>
  <si>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</si>
  <si>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</si>
  <si>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</si>
  <si>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</si>
  <si>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</si>
  <si>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</si>
  <si>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</si>
  <si>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</si>
  <si>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</si>
  <si>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</si>
  <si>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</si>
  <si>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</si>
  <si>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</si>
  <si>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</si>
  <si>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</si>
  <si>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</si>
  <si>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</si>
  <si>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</si>
  <si>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</si>
  <si>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</si>
  <si>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</si>
  <si>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</si>
  <si>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</si>
  <si>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</si>
  <si>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</si>
  <si>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</si>
  <si>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</si>
  <si>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</si>
  <si>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</si>
  <si>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</si>
  <si>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</si>
  <si>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</si>
  <si>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</si>
  <si>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</si>
  <si>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</si>
  <si>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</si>
  <si>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</si>
  <si>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</si>
  <si>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</si>
  <si>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</si>
  <si>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</si>
  <si>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</si>
  <si>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</si>
  <si>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</si>
  <si>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</si>
  <si>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</si>
  <si>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</si>
  <si>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</si>
  <si>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</si>
  <si>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</si>
  <si>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</si>
  <si>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</si>
  <si>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</si>
  <si>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</si>
  <si>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</si>
  <si>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</si>
  <si>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</si>
  <si>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</si>
  <si>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</si>
  <si>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</si>
  <si>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</si>
  <si>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</si>
  <si>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</si>
  <si>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</si>
  <si>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</si>
  <si>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</si>
  <si>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</si>
  <si>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</si>
  <si>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</si>
  <si>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</si>
  <si>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</si>
  <si>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</si>
  <si>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</si>
  <si>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</si>
  <si>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</si>
  <si>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</si>
  <si>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</si>
  <si>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</si>
  <si>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</si>
  <si>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</si>
  <si>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</si>
  <si>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</si>
  <si>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</si>
  <si>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</si>
  <si>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</si>
  <si>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</si>
  <si>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</si>
  <si>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</si>
  <si>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</si>
  <si>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</si>
  <si>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</si>
  <si>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</si>
  <si>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</si>
  <si>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</si>
  <si>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</si>
  <si>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</si>
  <si>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</si>
  <si>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</si>
  <si>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</si>
  <si>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</si>
  <si>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</si>
  <si>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</si>
  <si>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</si>
  <si>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</si>
  <si>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</si>
  <si>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</si>
  <si>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</si>
  <si>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</si>
  <si>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</si>
  <si>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</si>
  <si>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</si>
  <si>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</si>
  <si>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</si>
  <si>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</si>
  <si>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</si>
  <si>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</si>
  <si>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</si>
  <si>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</si>
  <si>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</si>
  <si>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</si>
  <si>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</si>
  <si>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</si>
  <si>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</si>
  <si>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</si>
  <si>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</si>
  <si>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</si>
  <si>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</si>
  <si>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</si>
  <si>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</si>
  <si>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</si>
  <si>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</si>
  <si>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</si>
  <si>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</si>
  <si>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</si>
  <si>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</si>
  <si>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</si>
  <si>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</si>
  <si>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</si>
  <si>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</si>
  <si>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</si>
  <si>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</si>
  <si>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</si>
  <si>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</si>
  <si>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</si>
  <si>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</si>
  <si>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</si>
  <si>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</si>
  <si>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</si>
  <si>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</si>
  <si>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</si>
  <si>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</si>
  <si>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</si>
  <si>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</si>
  <si>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</si>
  <si>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</si>
  <si>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</si>
  <si>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</si>
  <si>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</si>
  <si>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</si>
  <si>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</si>
  <si>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</si>
  <si>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</si>
  <si>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</si>
  <si>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</si>
  <si>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</si>
  <si>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</si>
  <si>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</si>
  <si>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</si>
  <si>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</si>
  <si>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</si>
  <si>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</si>
  <si>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</si>
  <si>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</si>
  <si>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</si>
  <si>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</si>
  <si>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</si>
  <si>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</si>
  <si>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</si>
  <si>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</si>
  <si>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</si>
  <si>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</si>
  <si>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</si>
  <si>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</si>
  <si>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</si>
  <si>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</si>
  <si>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</si>
  <si>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</si>
  <si>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</si>
  <si>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</si>
  <si>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</si>
  <si>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</si>
  <si>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</si>
  <si>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</si>
  <si>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</si>
  <si>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</si>
  <si>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</si>
  <si>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</si>
  <si>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</si>
  <si>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</si>
  <si>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</si>
  <si>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</si>
  <si>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</si>
  <si>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</si>
  <si>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</si>
  <si>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</si>
  <si>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</si>
  <si>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</si>
  <si>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</si>
  <si>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</si>
  <si>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</si>
  <si>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</si>
  <si>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</si>
  <si>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</si>
  <si>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</si>
  <si>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</si>
  <si>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</si>
  <si>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</si>
  <si>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</si>
  <si>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</si>
  <si>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</si>
  <si>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</si>
  <si>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</si>
  <si>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</si>
  <si>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</si>
  <si>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</si>
  <si>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</si>
  <si>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</si>
  <si>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</si>
  <si>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</si>
  <si>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</si>
  <si>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</si>
  <si>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</si>
  <si>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</si>
  <si>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</si>
  <si>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</si>
  <si>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</si>
  <si>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</si>
  <si>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</si>
  <si>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</si>
  <si>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</si>
  <si>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</si>
  <si>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</si>
  <si>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</si>
  <si>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</si>
  <si>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</si>
  <si>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</si>
  <si>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</si>
  <si>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</si>
  <si>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</si>
  <si>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</si>
  <si>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</si>
  <si>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</si>
  <si>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</si>
  <si>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</si>
  <si>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</si>
  <si>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</si>
  <si>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</si>
  <si>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</si>
  <si>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</si>
  <si>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</si>
  <si>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</si>
  <si>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</si>
  <si>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</si>
  <si>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</si>
  <si>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</si>
  <si>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</si>
  <si>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</si>
  <si>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</si>
  <si>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</si>
  <si>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</si>
  <si>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</si>
  <si>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</si>
  <si>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</si>
  <si>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</si>
  <si>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</si>
  <si>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</si>
  <si>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</si>
  <si>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</si>
  <si>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</si>
  <si>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</si>
  <si>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</si>
  <si>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</si>
  <si>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</si>
  <si>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</si>
  <si>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</si>
  <si>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</si>
  <si>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</si>
  <si>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</si>
  <si>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</si>
  <si>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</si>
  <si>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</si>
  <si>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</si>
  <si>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</si>
  <si>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</si>
  <si>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</si>
  <si>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</si>
  <si>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</si>
  <si>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</si>
  <si>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</si>
  <si>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</si>
  <si>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</si>
  <si>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</si>
  <si>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</si>
  <si>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</si>
  <si>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</si>
  <si>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</si>
  <si>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</si>
  <si>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</si>
  <si>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</si>
  <si>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</si>
  <si>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</si>
  <si>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</si>
  <si>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</si>
  <si>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</si>
  <si>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</si>
  <si>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</si>
  <si>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</si>
  <si>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</si>
  <si>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</si>
  <si>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</si>
  <si>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</si>
  <si>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</si>
  <si>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</si>
  <si>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</si>
  <si>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</si>
  <si>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</si>
  <si>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</si>
  <si>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</si>
  <si>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</si>
  <si>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</si>
  <si>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</si>
  <si>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</si>
  <si>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</si>
  <si>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</si>
  <si>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</si>
  <si>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</si>
  <si>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</si>
  <si>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</si>
  <si>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</si>
  <si>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</si>
  <si>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</si>
  <si>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</si>
  <si>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</si>
  <si>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</si>
  <si>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</si>
  <si>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</si>
  <si>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</si>
  <si>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</si>
  <si>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</si>
  <si>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</si>
  <si>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</si>
  <si>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</si>
  <si>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</si>
  <si>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</si>
  <si>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</si>
  <si>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</si>
  <si>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</si>
  <si>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</si>
  <si>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</si>
  <si>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</si>
  <si>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</si>
  <si>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</si>
  <si>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</si>
  <si>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</si>
  <si>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</si>
  <si>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</si>
  <si>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</si>
  <si>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</si>
  <si>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</si>
  <si>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</si>
  <si>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</si>
  <si>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</si>
  <si>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</si>
  <si>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</si>
  <si>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</si>
  <si>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</si>
  <si>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</si>
  <si>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</si>
  <si>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</si>
  <si>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</si>
  <si>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</si>
  <si>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</si>
  <si>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</si>
  <si>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</si>
  <si>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</si>
  <si>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</si>
  <si>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</si>
  <si>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</si>
  <si>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</si>
  <si>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</si>
  <si>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</si>
  <si>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</si>
  <si>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</si>
  <si>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</si>
  <si>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</si>
  <si>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</si>
  <si>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</si>
  <si>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</si>
  <si>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</si>
  <si>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</si>
  <si>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</si>
  <si>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</si>
  <si>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</si>
  <si>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</si>
  <si>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</si>
  <si>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</si>
  <si>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</si>
  <si>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</si>
  <si>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</si>
  <si>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</si>
  <si>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</si>
  <si>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</si>
  <si>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</si>
  <si>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</si>
  <si>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</si>
  <si>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</si>
  <si>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</si>
  <si>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</si>
  <si>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</si>
  <si>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</si>
  <si>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</si>
  <si>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</si>
  <si>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</si>
  <si>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</si>
  <si>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</si>
  <si>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</si>
  <si>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</si>
  <si>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</si>
  <si>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</si>
  <si>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</si>
  <si>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</si>
  <si>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</si>
  <si>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</si>
  <si>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</si>
  <si>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</si>
  <si>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</si>
  <si>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</si>
  <si>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</si>
  <si>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</si>
  <si>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</si>
  <si>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</si>
  <si>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</si>
  <si>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</si>
  <si>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</si>
  <si>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</si>
  <si>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</si>
  <si>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</si>
  <si>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</si>
  <si>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</si>
  <si>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</si>
  <si>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</si>
  <si>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</si>
  <si>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</si>
  <si>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</si>
  <si>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</si>
  <si>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</si>
  <si>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</si>
  <si>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</si>
  <si>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</si>
  <si>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</si>
  <si>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</si>
  <si>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</si>
  <si>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</si>
  <si>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</si>
  <si>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</si>
  <si>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</si>
  <si>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</si>
  <si>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</si>
  <si>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</si>
  <si>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</si>
  <si>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</si>
  <si>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</si>
  <si>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</si>
  <si>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</si>
  <si>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</si>
  <si>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</si>
  <si>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</si>
  <si>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</si>
  <si>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</si>
  <si>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</si>
  <si>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</si>
  <si>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</si>
  <si>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</si>
  <si>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</si>
  <si>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</si>
  <si>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</si>
  <si>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</si>
  <si>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</si>
  <si>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</si>
  <si>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</si>
  <si>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</si>
  <si>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</si>
  <si>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</si>
  <si>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</si>
  <si>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</si>
  <si>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</si>
  <si>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</si>
  <si>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</si>
  <si>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</si>
  <si>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</si>
  <si>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</si>
  <si>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</si>
  <si>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</si>
  <si>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</si>
  <si>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</si>
  <si>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</si>
  <si>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</si>
  <si>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</si>
  <si>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</si>
  <si>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</si>
  <si>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</si>
  <si>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</si>
  <si>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</si>
  <si>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</si>
  <si>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</si>
  <si>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</si>
  <si>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</si>
  <si>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</si>
  <si>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</si>
  <si>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</si>
  <si>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</si>
  <si>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</si>
  <si>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</si>
  <si>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</si>
  <si>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</si>
  <si>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</si>
  <si>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</si>
  <si>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</si>
  <si>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</si>
  <si>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</si>
  <si>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</si>
  <si>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</si>
  <si>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</si>
  <si>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</si>
  <si>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</si>
  <si>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</si>
  <si>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</si>
  <si>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</si>
  <si>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</si>
  <si>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</si>
  <si>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</si>
  <si>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</si>
  <si>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</si>
  <si>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</si>
  <si>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</si>
  <si>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</si>
  <si>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</si>
  <si>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</si>
  <si>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</si>
  <si>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</si>
  <si>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</si>
  <si>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</si>
  <si>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</si>
  <si>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</si>
  <si>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</si>
  <si>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</si>
  <si>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</si>
  <si>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</si>
  <si>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</si>
  <si>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</si>
  <si>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</si>
  <si>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</si>
  <si>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</si>
  <si>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</si>
  <si>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</si>
  <si>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</si>
  <si>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</si>
  <si>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</si>
  <si>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</si>
  <si>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</si>
  <si>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</si>
  <si>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</si>
  <si>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</si>
  <si>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</si>
  <si>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</si>
  <si>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</si>
  <si>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</si>
  <si>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</si>
  <si>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</si>
  <si>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</si>
  <si>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</si>
  <si>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</si>
  <si>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</si>
  <si>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</si>
  <si>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</si>
  <si>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</si>
  <si>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</si>
  <si>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</si>
  <si>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</si>
  <si>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</si>
  <si>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</si>
  <si>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</si>
  <si>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</si>
  <si>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</si>
  <si>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</si>
  <si>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</si>
  <si>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</si>
  <si>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</si>
  <si>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</si>
  <si>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</si>
  <si>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</si>
  <si>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</si>
  <si>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</si>
  <si>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</si>
  <si>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</si>
  <si>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</si>
  <si>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</si>
  <si>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</si>
  <si>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</si>
  <si>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</si>
  <si>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</si>
  <si>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</si>
  <si>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</si>
  <si>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</si>
  <si>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</si>
  <si>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</si>
  <si>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</si>
  <si>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</si>
  <si>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</si>
  <si>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</si>
  <si>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</si>
  <si>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</si>
  <si>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</si>
  <si>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</si>
  <si>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</si>
  <si>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</si>
  <si>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</si>
  <si>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</si>
  <si>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</si>
  <si>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</si>
  <si>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</si>
  <si>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</si>
  <si>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</si>
  <si>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</si>
  <si>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</si>
  <si>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</si>
  <si>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</si>
  <si>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</si>
  <si>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</si>
  <si>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</si>
  <si>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</si>
  <si>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</si>
  <si>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</si>
  <si>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</si>
  <si>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</si>
  <si>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</si>
  <si>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</si>
  <si>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</si>
  <si>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</si>
  <si>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</si>
  <si>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</si>
  <si>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</si>
  <si>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</si>
  <si>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</si>
  <si>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</si>
  <si>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</si>
  <si>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</si>
  <si>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</si>
  <si>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</si>
  <si>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</si>
  <si>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</si>
  <si>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</si>
  <si>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</si>
  <si>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</si>
  <si>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</si>
  <si>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</si>
  <si>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</si>
  <si>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</si>
  <si>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</si>
  <si>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</si>
  <si>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</si>
  <si>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</si>
  <si>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</si>
  <si>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</si>
  <si>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</si>
  <si>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</si>
  <si>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</si>
  <si>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</si>
  <si>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</si>
  <si>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</si>
  <si>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</si>
  <si>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</si>
  <si>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</si>
  <si>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</si>
  <si>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</si>
  <si>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</si>
  <si>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</si>
  <si>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</si>
  <si>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</si>
  <si>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</si>
  <si>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</si>
  <si>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</si>
  <si>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</si>
  <si>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</si>
  <si>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</si>
  <si>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</si>
  <si>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</si>
  <si>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</si>
  <si>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</si>
  <si>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</si>
  <si>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</si>
  <si>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</si>
  <si>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</si>
  <si>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</si>
  <si>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</si>
  <si>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</si>
  <si>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</si>
  <si>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</si>
  <si>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</si>
  <si>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</si>
  <si>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</si>
  <si>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</si>
  <si>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</si>
  <si>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</si>
  <si>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</si>
  <si>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</si>
  <si>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</si>
  <si>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</si>
  <si>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</si>
  <si>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</si>
  <si>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</si>
  <si>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</si>
  <si>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</si>
  <si>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</si>
  <si>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</si>
  <si>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</si>
  <si>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</si>
  <si>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</si>
  <si>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</si>
  <si>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</si>
  <si>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</si>
  <si>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</si>
  <si>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</si>
  <si>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</si>
  <si>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</si>
  <si>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</si>
  <si>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</si>
  <si>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</si>
  <si>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</si>
  <si>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</si>
  <si>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</si>
  <si>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</si>
  <si>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</si>
  <si>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</si>
  <si>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</si>
  <si>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</si>
  <si>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</si>
  <si>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</si>
  <si>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</si>
  <si>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</si>
  <si>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</si>
  <si>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</si>
  <si>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</si>
  <si>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</si>
  <si>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</si>
  <si>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</si>
  <si>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</si>
  <si>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</si>
  <si>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</si>
  <si>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</si>
  <si>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</si>
  <si>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</si>
  <si>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</si>
  <si>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</si>
  <si>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</si>
  <si>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</si>
  <si>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</si>
  <si>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</si>
  <si>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</si>
  <si>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</si>
  <si>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</si>
  <si>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</si>
  <si>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</si>
  <si>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</si>
  <si>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</si>
  <si>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</si>
  <si>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</si>
  <si>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</si>
  <si>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</si>
  <si>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</si>
  <si>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</si>
  <si>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</si>
  <si>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</si>
  <si>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</si>
  <si>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</si>
  <si>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</si>
  <si>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</si>
  <si>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</si>
  <si>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</si>
  <si>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</si>
  <si>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</si>
  <si>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</si>
  <si>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</si>
  <si>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</si>
  <si>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</si>
  <si>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</si>
  <si>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</si>
  <si>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</si>
  <si>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</si>
  <si>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</si>
  <si>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</si>
  <si>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</si>
  <si>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</si>
  <si>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</si>
  <si>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</si>
  <si>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</si>
  <si>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</si>
  <si>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</si>
  <si>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</si>
  <si>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</si>
  <si>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</si>
  <si>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</si>
  <si>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</si>
  <si>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</si>
  <si>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</si>
  <si>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</si>
  <si>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</si>
  <si>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</si>
  <si>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</si>
  <si>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</si>
  <si>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</si>
  <si>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</si>
  <si>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</si>
  <si>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</si>
  <si>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</si>
  <si>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</si>
  <si>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</si>
  <si>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</si>
  <si>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</si>
  <si>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</si>
  <si>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</si>
  <si>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</si>
  <si>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</si>
  <si>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</si>
  <si>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</si>
  <si>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</si>
  <si>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</si>
  <si>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</si>
  <si>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</si>
  <si>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</si>
  <si>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</si>
  <si>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</si>
  <si>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</si>
  <si>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</si>
  <si>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</si>
  <si>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</si>
  <si>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</si>
  <si>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</si>
  <si>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</si>
  <si>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</si>
  <si>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</si>
  <si>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</si>
  <si>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</si>
  <si>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</si>
  <si>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</si>
  <si>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</si>
  <si>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</si>
  <si>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</si>
  <si>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</si>
  <si>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</si>
  <si>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</si>
  <si>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</si>
  <si>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</si>
  <si>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</si>
  <si>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</si>
  <si>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</si>
  <si>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</si>
  <si>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</si>
  <si>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</si>
  <si>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</si>
  <si>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</si>
  <si>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</si>
  <si>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</si>
  <si>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</si>
  <si>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</si>
  <si>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</si>
  <si>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</si>
  <si>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</si>
  <si>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</si>
  <si>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</si>
  <si>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</si>
  <si>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</si>
  <si>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</si>
  <si>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</si>
  <si>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</si>
  <si>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</si>
  <si>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</si>
  <si>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</si>
  <si>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</si>
  <si>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</si>
  <si>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</si>
  <si>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</si>
  <si>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</si>
  <si>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</si>
  <si>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</si>
  <si>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</si>
  <si>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</si>
  <si>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</si>
  <si>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</si>
  <si>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</si>
  <si>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</si>
  <si>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</si>
  <si>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</si>
  <si>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</si>
  <si>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</si>
  <si>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</si>
  <si>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</si>
  <si>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</si>
  <si>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</si>
  <si>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</si>
  <si>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</si>
  <si>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</si>
  <si>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</si>
  <si>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</si>
  <si>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</si>
  <si>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</si>
  <si>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</si>
  <si>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</si>
  <si>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</si>
  <si>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</si>
  <si>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</si>
  <si>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</si>
  <si>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</si>
  <si>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</si>
  <si>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</si>
  <si>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</si>
  <si>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</si>
  <si>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</si>
  <si>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</si>
  <si>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</si>
  <si>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</si>
  <si>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</si>
  <si>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</si>
  <si>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</si>
  <si>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</si>
  <si>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</si>
  <si>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</si>
  <si>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</si>
  <si>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</si>
  <si>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</si>
  <si>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</si>
  <si>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</si>
  <si>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</si>
  <si>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</si>
  <si>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</si>
  <si>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</si>
  <si>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</si>
  <si>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</si>
  <si>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</si>
  <si>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</si>
  <si>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</si>
  <si>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</si>
  <si>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</si>
  <si>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</si>
  <si>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</si>
  <si>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</si>
  <si>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</si>
  <si>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</si>
  <si>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</si>
  <si>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</si>
  <si>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</si>
  <si>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</si>
  <si>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</si>
  <si>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</si>
  <si>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</si>
  <si>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</si>
  <si>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</si>
  <si>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</si>
  <si>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</si>
  <si>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</si>
  <si>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</si>
  <si>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</si>
  <si>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</si>
  <si>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</si>
  <si>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</si>
  <si>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</si>
  <si>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</si>
  <si>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</si>
  <si>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</si>
  <si>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</si>
  <si>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</si>
  <si>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</si>
  <si>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</si>
  <si>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</si>
  <si>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</si>
  <si>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</si>
  <si>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</si>
  <si>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</si>
  <si>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</si>
  <si>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</si>
  <si>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</si>
  <si>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</si>
  <si>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</si>
  <si>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</si>
  <si>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</si>
  <si>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</si>
  <si>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</si>
  <si>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</si>
  <si>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</si>
  <si>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</si>
  <si>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</si>
  <si>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</si>
  <si>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</si>
  <si>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</si>
  <si>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</si>
  <si>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</si>
  <si>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</si>
  <si>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</si>
  <si>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</si>
  <si>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</si>
  <si>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</si>
  <si>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</si>
  <si>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</si>
  <si>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</si>
  <si>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</si>
  <si>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</si>
  <si>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</si>
  <si>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</si>
  <si>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</si>
  <si>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</si>
  <si>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</si>
  <si>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</si>
  <si>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</si>
  <si>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</si>
  <si>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</si>
  <si>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</si>
  <si>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</si>
  <si>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</si>
  <si>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</si>
  <si>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</si>
  <si>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</si>
  <si>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</si>
  <si>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</si>
  <si>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</si>
  <si>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</si>
  <si>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</si>
  <si>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</si>
  <si>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</si>
  <si>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</si>
  <si>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</si>
  <si>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</si>
  <si>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</si>
  <si>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</si>
  <si>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</si>
  <si>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</si>
  <si>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</si>
  <si>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</si>
  <si>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</si>
  <si>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</si>
  <si>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</si>
  <si>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</si>
  <si>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</si>
  <si>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</si>
  <si>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</si>
  <si>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</si>
  <si>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</si>
  <si>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</si>
  <si>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</si>
  <si>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</si>
  <si>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</si>
  <si>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</si>
  <si>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</si>
  <si>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</si>
  <si>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</si>
  <si>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</si>
  <si>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</si>
  <si>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</si>
  <si>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</si>
  <si>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</si>
  <si>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</si>
  <si>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</si>
  <si>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</si>
  <si>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</si>
  <si>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</si>
  <si>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</si>
  <si>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</si>
  <si>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</si>
  <si>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</si>
  <si>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</si>
  <si>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</si>
  <si>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</si>
  <si>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</si>
  <si>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</si>
  <si>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</si>
  <si>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</si>
  <si>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</si>
  <si>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</si>
  <si>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</si>
  <si>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</si>
  <si>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</si>
  <si>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</si>
  <si>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</si>
  <si>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</si>
  <si>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</si>
  <si>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</si>
  <si>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</si>
  <si>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</si>
  <si>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</si>
  <si>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</si>
  <si>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</si>
  <si>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</si>
  <si>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</si>
  <si>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</si>
  <si>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</si>
  <si>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</si>
  <si>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</si>
  <si>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</si>
  <si>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</si>
  <si>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</si>
  <si>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</si>
  <si>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</si>
  <si>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</si>
  <si>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</si>
  <si>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</si>
  <si>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</si>
  <si>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</si>
  <si>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</si>
  <si>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</si>
  <si>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</si>
  <si>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</si>
  <si>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</si>
  <si>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</si>
  <si>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</si>
  <si>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</si>
  <si>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</si>
  <si>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</si>
  <si>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</si>
  <si>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</si>
  <si>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</si>
  <si>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</si>
  <si>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</si>
  <si>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</si>
  <si>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</si>
  <si>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</si>
  <si>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</si>
  <si>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</si>
  <si>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</si>
  <si>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</si>
  <si>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</si>
  <si>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</si>
  <si>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</si>
  <si>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</si>
  <si>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</si>
  <si>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</si>
  <si>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</si>
  <si>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</si>
  <si>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</si>
  <si>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</si>
  <si>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</si>
  <si>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</si>
  <si>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</si>
  <si>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</si>
  <si>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</si>
  <si>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</si>
  <si>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</si>
  <si>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</si>
  <si>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</si>
  <si>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</si>
  <si>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</si>
  <si>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</si>
  <si>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</si>
  <si>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</si>
  <si>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</si>
  <si>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</si>
  <si>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</si>
  <si>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</si>
  <si>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</si>
  <si>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</si>
  <si>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</si>
  <si>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</si>
  <si>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</si>
  <si>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</si>
  <si>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</si>
  <si>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</si>
  <si>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</si>
  <si>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</si>
  <si>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</si>
  <si>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</si>
  <si>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</si>
  <si>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</si>
  <si>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</si>
  <si>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</si>
  <si>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</si>
  <si>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</si>
  <si>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</si>
  <si>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</si>
  <si>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</si>
  <si>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</si>
  <si>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</si>
  <si>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</si>
  <si>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</si>
  <si>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</si>
  <si>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</si>
  <si>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</si>
  <si>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</si>
  <si>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</si>
  <si>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</si>
  <si>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</si>
  <si>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</si>
  <si>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</si>
  <si>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</si>
  <si>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</si>
  <si>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</si>
  <si>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</si>
  <si>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</si>
  <si>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</si>
  <si>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</si>
  <si>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</si>
  <si>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</si>
  <si>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</si>
  <si>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</si>
  <si>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</si>
  <si>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</si>
  <si>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</si>
  <si>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</si>
  <si>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</si>
  <si>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</si>
  <si>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</si>
  <si>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</si>
  <si>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</si>
  <si>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</si>
  <si>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</si>
  <si>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</si>
  <si>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</si>
  <si>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</si>
  <si>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</si>
  <si>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</si>
  <si>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</si>
  <si>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</si>
  <si>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</si>
  <si>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</si>
  <si>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</si>
  <si>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</si>
  <si>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</si>
  <si>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</si>
  <si>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</si>
  <si>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</si>
  <si>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</si>
  <si>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</si>
  <si>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</si>
  <si>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</si>
  <si>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</si>
  <si>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</si>
  <si>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</si>
  <si>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</si>
  <si>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</si>
  <si>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</si>
  <si>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</si>
  <si>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</si>
  <si>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</si>
  <si>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</si>
  <si>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</si>
  <si>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</si>
  <si>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</si>
  <si>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</si>
  <si>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</si>
  <si>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</si>
  <si>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</si>
  <si>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</si>
  <si>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</si>
  <si>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</si>
  <si>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</si>
  <si>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</si>
  <si>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</si>
  <si>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</si>
  <si>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</si>
  <si>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</si>
  <si>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</si>
  <si>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</si>
  <si>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</si>
  <si>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</si>
  <si>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</si>
  <si>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</si>
  <si>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</si>
  <si>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</si>
  <si>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</si>
  <si>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</si>
  <si>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</si>
  <si>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</si>
  <si>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</si>
  <si>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</si>
  <si>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</si>
  <si>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</si>
  <si>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</si>
  <si>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</si>
  <si>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</si>
  <si>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</si>
  <si>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</si>
  <si>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</si>
  <si>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</si>
  <si>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</si>
  <si>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</si>
  <si>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</si>
  <si>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</si>
  <si>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</si>
  <si>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</si>
  <si>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</si>
  <si>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</si>
  <si>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</si>
  <si>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</si>
  <si>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</si>
  <si>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</si>
  <si>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</si>
  <si>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</si>
  <si>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</si>
  <si>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</si>
  <si>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</si>
  <si>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</si>
  <si>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</si>
  <si>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</si>
  <si>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</si>
  <si>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</si>
  <si>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</si>
  <si>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</si>
  <si>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</si>
  <si>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</si>
  <si>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</si>
  <si>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</si>
  <si>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</si>
  <si>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</si>
  <si>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</si>
  <si>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</si>
  <si>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</si>
  <si>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</si>
  <si>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</si>
  <si>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</si>
  <si>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</si>
  <si>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</si>
  <si>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</si>
  <si>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</si>
  <si>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</si>
  <si>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</si>
  <si>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</si>
  <si>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</si>
  <si>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</si>
  <si>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</si>
  <si>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</si>
  <si>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</si>
  <si>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</si>
  <si>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</si>
  <si>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</si>
  <si>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</si>
  <si>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</si>
  <si>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</si>
  <si>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</si>
  <si>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</si>
  <si>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</si>
  <si>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</si>
  <si>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</si>
  <si>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</si>
  <si>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</si>
  <si>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</si>
  <si>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</si>
  <si>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</si>
  <si>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</si>
  <si>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</si>
  <si>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</si>
  <si>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</si>
  <si>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</si>
  <si>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</si>
  <si>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</si>
  <si>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</si>
  <si>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</si>
  <si>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</si>
  <si>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</si>
  <si>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</si>
  <si>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</si>
  <si>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</si>
  <si>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</si>
  <si>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</si>
  <si>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</si>
  <si>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</si>
  <si>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</si>
  <si>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</si>
  <si>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</si>
  <si>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</si>
  <si>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</si>
  <si>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</si>
  <si>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</si>
  <si>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</si>
  <si>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</si>
  <si>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</si>
  <si>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</si>
  <si>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</si>
  <si>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</si>
  <si>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</si>
  <si>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</si>
  <si>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</si>
  <si>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</si>
  <si>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</si>
  <si>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</si>
  <si>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</si>
  <si>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</si>
  <si>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</si>
  <si>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</si>
  <si>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</si>
  <si>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</si>
  <si>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</si>
  <si>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</si>
  <si>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</si>
  <si>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</si>
  <si>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</si>
  <si>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</si>
  <si>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</si>
  <si>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</si>
  <si>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</si>
  <si>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</si>
  <si>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</si>
  <si>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</si>
  <si>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</si>
  <si>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</si>
  <si>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</si>
  <si>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</si>
  <si>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</si>
  <si>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</si>
  <si>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</si>
  <si>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</si>
  <si>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</si>
  <si>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</si>
  <si>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</si>
  <si>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</si>
  <si>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</si>
  <si>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</si>
  <si>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</si>
  <si>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</si>
  <si>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</si>
  <si>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</si>
  <si>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</si>
  <si>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</si>
  <si>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</si>
  <si>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</si>
  <si>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</si>
  <si>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</si>
  <si>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</si>
  <si>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</si>
  <si>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</si>
  <si>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</si>
  <si>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</si>
  <si>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</si>
  <si>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</si>
  <si>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</si>
  <si>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</si>
  <si>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</si>
  <si>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</si>
  <si>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</si>
  <si>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</si>
  <si>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</si>
  <si>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</si>
  <si>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</si>
  <si>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</si>
  <si>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</si>
  <si>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</si>
  <si>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</si>
  <si>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</si>
  <si>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</si>
  <si>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</si>
  <si>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</si>
  <si>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</si>
  <si>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</si>
  <si>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</si>
  <si>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</si>
  <si>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</si>
  <si>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</si>
  <si>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</si>
  <si>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</si>
  <si>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</si>
  <si>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</si>
  <si>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</si>
  <si>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</si>
  <si>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</si>
  <si>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</si>
  <si>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</si>
  <si>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</si>
  <si>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</si>
  <si>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</si>
  <si>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</si>
  <si>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</si>
  <si>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</si>
  <si>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</si>
  <si>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</si>
  <si>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</si>
  <si>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</si>
  <si>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</si>
  <si>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</si>
  <si>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</si>
  <si>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</si>
  <si>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</si>
  <si>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</si>
  <si>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</si>
  <si>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</si>
  <si>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</si>
  <si>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</si>
  <si>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</si>
  <si>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</si>
  <si>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</si>
  <si>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</si>
  <si>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</si>
  <si>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</si>
  <si>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</si>
  <si>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</si>
  <si>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</si>
  <si>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</si>
  <si>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</si>
  <si>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</si>
  <si>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</si>
  <si>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</si>
  <si>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</si>
  <si>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</si>
  <si>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</si>
  <si>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</si>
  <si>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</si>
  <si>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</si>
  <si>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</si>
  <si>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</si>
  <si>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</si>
  <si>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</si>
  <si>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</si>
  <si>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</si>
  <si>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</si>
  <si>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</si>
  <si>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</si>
  <si>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</si>
  <si>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</si>
  <si>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</si>
  <si>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</si>
  <si>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</si>
  <si>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</si>
  <si>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</si>
  <si>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</si>
  <si>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</si>
  <si>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</si>
  <si>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</si>
  <si>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</si>
  <si>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</si>
  <si>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</si>
  <si>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</si>
  <si>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</si>
  <si>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</si>
  <si>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</si>
  <si>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</si>
  <si>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</si>
  <si>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</si>
  <si>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</si>
  <si>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</si>
  <si>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</si>
  <si>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</si>
  <si>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</si>
  <si>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</si>
  <si>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</si>
  <si>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</si>
  <si>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</si>
  <si>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</si>
  <si>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</si>
  <si>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</si>
  <si>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</si>
  <si>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</si>
  <si>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</si>
  <si>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</si>
  <si>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</si>
  <si>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</si>
  <si>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</si>
  <si>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</si>
  <si>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</si>
  <si>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</si>
  <si>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</si>
  <si>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</si>
  <si>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</si>
  <si>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</si>
  <si>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</si>
  <si>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</si>
  <si>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</si>
  <si>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</si>
  <si>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</si>
  <si>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</si>
  <si>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</si>
  <si>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</si>
  <si>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</si>
  <si>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</si>
  <si>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</si>
  <si>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</si>
  <si>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</si>
  <si>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</si>
  <si>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</si>
  <si>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</si>
  <si>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</si>
  <si>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</si>
  <si>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</si>
  <si>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</si>
  <si>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</si>
  <si>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</si>
  <si>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</si>
  <si>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</si>
  <si>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</si>
  <si>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</si>
  <si>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</si>
  <si>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</si>
  <si>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</si>
  <si>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</si>
  <si>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</si>
  <si>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</si>
  <si>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</si>
  <si>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</si>
  <si>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</si>
  <si>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</si>
  <si>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</si>
  <si>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</si>
  <si>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</si>
  <si>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</si>
  <si>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</si>
  <si>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</si>
  <si>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</si>
  <si>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</si>
  <si>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</si>
  <si>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</si>
  <si>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</si>
  <si>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</si>
  <si>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</si>
  <si>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</si>
  <si>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</si>
  <si>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</si>
  <si>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</si>
  <si>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</si>
  <si>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</si>
  <si>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</si>
  <si>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</si>
  <si>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</si>
  <si>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</si>
  <si>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</si>
  <si>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</si>
  <si>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</si>
  <si>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</si>
  <si>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</si>
  <si>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</si>
  <si>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</si>
  <si>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</si>
  <si>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</si>
  <si>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</si>
  <si>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</si>
  <si>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</si>
  <si>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</si>
  <si>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</si>
  <si>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</si>
  <si>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</si>
  <si>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</si>
  <si>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</si>
  <si>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</si>
  <si>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</si>
  <si>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</si>
  <si>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</si>
  <si>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</si>
  <si>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</si>
  <si>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</si>
  <si>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</si>
  <si>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</si>
  <si>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</si>
  <si>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</si>
  <si>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</si>
  <si>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</si>
  <si>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</si>
  <si>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</si>
  <si>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</si>
  <si>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</si>
  <si>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</si>
  <si>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</si>
  <si>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</si>
  <si>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</si>
  <si>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</si>
  <si>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</si>
  <si>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</si>
  <si>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</si>
  <si>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</si>
  <si>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</si>
  <si>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</si>
  <si>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</si>
  <si>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</si>
  <si>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</si>
  <si>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</si>
  <si>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</si>
  <si>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</si>
  <si>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</si>
  <si>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</si>
  <si>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</si>
  <si>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</si>
  <si>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</si>
  <si>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</si>
  <si>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</si>
  <si>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</si>
  <si>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</si>
  <si>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</si>
  <si>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</si>
  <si>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</si>
  <si>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</si>
  <si>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</si>
  <si>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</si>
  <si>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</si>
  <si>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</si>
  <si>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</si>
  <si>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</si>
  <si>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</si>
  <si>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</si>
  <si>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</si>
  <si>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</si>
  <si>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</si>
  <si>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</si>
  <si>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</si>
  <si>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</si>
  <si>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</si>
  <si>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</si>
  <si>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</si>
  <si>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</si>
  <si>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</si>
  <si>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</si>
  <si>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</si>
  <si>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</si>
  <si>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</si>
  <si>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</si>
  <si>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</si>
  <si>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</si>
  <si>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</si>
  <si>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</si>
  <si>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</si>
  <si>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</si>
  <si>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</si>
  <si>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</si>
  <si>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</si>
  <si>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</si>
  <si>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</si>
  <si>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</si>
  <si>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</si>
  <si>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</si>
  <si>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</si>
  <si>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</si>
  <si>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</si>
  <si>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</si>
  <si>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</si>
  <si>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</si>
  <si>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</si>
  <si>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</si>
  <si>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</si>
  <si>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</si>
  <si>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</si>
  <si>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</si>
  <si>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</si>
  <si>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</si>
  <si>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</si>
  <si>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</si>
  <si>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</si>
  <si>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</si>
  <si>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</si>
  <si>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</si>
  <si>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</si>
  <si>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</si>
  <si>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</si>
  <si>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</si>
  <si>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</si>
  <si>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</si>
  <si>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</si>
  <si>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</si>
  <si>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</si>
  <si>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</si>
  <si>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</si>
  <si>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</si>
  <si>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</si>
  <si>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</si>
  <si>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</si>
  <si>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</si>
  <si>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</si>
  <si>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</si>
  <si>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</si>
  <si>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</si>
  <si>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</si>
  <si>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</si>
  <si>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</si>
  <si>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</si>
  <si>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</si>
  <si>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</si>
  <si>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</si>
  <si>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</si>
  <si>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</si>
  <si>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</si>
  <si>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</si>
  <si>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</si>
  <si>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</si>
  <si>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</si>
  <si>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</si>
  <si>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</si>
  <si>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</si>
  <si>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</si>
  <si>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</si>
  <si>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</si>
  <si>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</si>
  <si>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</si>
  <si>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</si>
  <si>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</si>
  <si>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</si>
  <si>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</si>
  <si>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</si>
  <si>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</si>
  <si>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</si>
  <si>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</si>
  <si>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</si>
  <si>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</si>
  <si>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</si>
  <si>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</si>
  <si>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</si>
  <si>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</si>
  <si>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</si>
  <si>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</si>
  <si>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</si>
  <si>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</si>
  <si>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</si>
  <si>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</si>
  <si>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</si>
  <si>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</si>
  <si>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</si>
  <si>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</si>
  <si>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</si>
  <si>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</si>
  <si>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</si>
  <si>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</si>
  <si>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</si>
  <si>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</si>
  <si>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</si>
  <si>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</si>
  <si>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</si>
  <si>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</si>
  <si>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</si>
  <si>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</si>
  <si>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</si>
  <si>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</si>
  <si>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</si>
  <si>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</si>
  <si>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</si>
  <si>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</si>
  <si>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</si>
  <si>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</si>
  <si>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</si>
  <si>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</si>
  <si>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</si>
  <si>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</si>
  <si>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</si>
  <si>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</si>
  <si>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</si>
  <si>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</si>
  <si>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</si>
  <si>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</si>
  <si>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</si>
  <si>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</si>
  <si>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</si>
  <si>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</si>
  <si>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</si>
  <si>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</si>
  <si>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</si>
  <si>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</si>
  <si>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</si>
  <si>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</si>
  <si>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</si>
  <si>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</si>
  <si>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</si>
  <si>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</si>
  <si>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</si>
  <si>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</si>
  <si>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</si>
  <si>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</si>
  <si>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</si>
  <si>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</si>
  <si>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</si>
  <si>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</si>
  <si>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</si>
  <si>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</si>
  <si>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</si>
  <si>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</si>
  <si>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</si>
  <si>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</si>
  <si>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</si>
  <si>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</si>
  <si>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</si>
  <si>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</si>
  <si>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</si>
  <si>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</si>
  <si>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</si>
  <si>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</si>
  <si>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</si>
  <si>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</si>
  <si>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</si>
  <si>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</si>
  <si>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</si>
  <si>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</si>
  <si>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</si>
  <si>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</si>
  <si>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</si>
  <si>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</si>
  <si>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</si>
  <si>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</si>
  <si>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</si>
  <si>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</si>
  <si>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</si>
  <si>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</si>
  <si>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</si>
  <si>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</si>
  <si>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</si>
  <si>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</si>
  <si>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</si>
  <si>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</si>
  <si>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</si>
  <si>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</si>
  <si>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</si>
  <si>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</si>
  <si>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</si>
  <si>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</si>
  <si>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</si>
  <si>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</si>
  <si>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</si>
  <si>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</si>
  <si>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</si>
  <si>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</si>
  <si>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</si>
  <si>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</si>
  <si>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</si>
  <si>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</si>
  <si>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</si>
  <si>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</si>
  <si>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</si>
  <si>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</si>
  <si>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</si>
  <si>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</si>
  <si>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</si>
  <si>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</si>
  <si>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</si>
  <si>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</si>
  <si>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</si>
  <si>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</si>
  <si>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</si>
  <si>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</si>
  <si>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</si>
  <si>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</si>
  <si>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</si>
  <si>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</si>
  <si>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</si>
  <si>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</si>
  <si>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</si>
  <si>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</si>
  <si>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</si>
  <si>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</si>
  <si>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</si>
  <si>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</si>
  <si>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</si>
  <si>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</si>
  <si>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</si>
  <si>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</si>
  <si>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</si>
  <si>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</si>
  <si>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</si>
  <si>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</si>
  <si>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</si>
  <si>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</si>
  <si>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</si>
  <si>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</si>
  <si>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</si>
  <si>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</si>
  <si>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</si>
  <si>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</si>
  <si>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</si>
  <si>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</si>
  <si>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</si>
  <si>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</si>
  <si>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</si>
  <si>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</si>
  <si>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</si>
  <si>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</si>
  <si>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</si>
  <si>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</si>
  <si>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</si>
  <si>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</si>
  <si>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</si>
  <si>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</si>
  <si>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</si>
  <si>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</si>
  <si>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</si>
  <si>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</si>
  <si>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</si>
  <si>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</si>
  <si>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</si>
  <si>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</si>
  <si>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</si>
  <si>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</si>
  <si>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</si>
  <si>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</si>
  <si>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</si>
  <si>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</si>
  <si>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</si>
  <si>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</si>
  <si>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</si>
  <si>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</si>
  <si>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</si>
  <si>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</si>
  <si>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</si>
  <si>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</si>
  <si>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</si>
  <si>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</si>
  <si>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</si>
  <si>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</si>
  <si>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</si>
  <si>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</si>
  <si>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</si>
  <si>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</si>
  <si>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</si>
  <si>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</si>
  <si>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</si>
  <si>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</si>
  <si>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</si>
  <si>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</si>
  <si>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</si>
  <si>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</si>
  <si>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</si>
  <si>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</si>
  <si>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</si>
  <si>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</si>
  <si>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</si>
  <si>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</si>
  <si>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</si>
  <si>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</si>
  <si>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</si>
  <si>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</si>
  <si>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</si>
  <si>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</si>
  <si>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</si>
  <si>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</si>
  <si>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</si>
  <si>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</si>
  <si>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</si>
  <si>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</si>
  <si>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</si>
  <si>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</si>
  <si>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</si>
  <si>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</si>
  <si>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</si>
  <si>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</si>
  <si>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</si>
  <si>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</si>
  <si>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</si>
  <si>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</si>
  <si>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</si>
  <si>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</si>
  <si>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</si>
  <si>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</si>
  <si>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</si>
  <si>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</si>
  <si>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</si>
  <si>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</si>
  <si>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</si>
  <si>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</si>
  <si>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</si>
  <si>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</si>
  <si>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</si>
  <si>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</si>
  <si>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</si>
  <si>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</si>
  <si>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</si>
  <si>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</si>
  <si>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</si>
  <si>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</si>
  <si>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</si>
  <si>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</si>
  <si>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</si>
  <si>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</si>
  <si>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</si>
  <si>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</si>
  <si>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</si>
  <si>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</si>
  <si>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</si>
  <si>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</si>
  <si>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</si>
  <si>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</si>
  <si>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</si>
  <si>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</si>
  <si>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</si>
  <si>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</si>
  <si>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</si>
  <si>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</si>
  <si>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</si>
  <si>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</si>
  <si>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</si>
  <si>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</si>
  <si>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</si>
  <si>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</si>
  <si>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</si>
  <si>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</si>
  <si>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</si>
  <si>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</si>
  <si>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</si>
  <si>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</si>
  <si>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</si>
  <si>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</si>
  <si>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</si>
  <si>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</si>
  <si>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</si>
  <si>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</si>
  <si>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</si>
  <si>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</si>
  <si>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</si>
  <si>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</si>
  <si>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</si>
  <si>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</si>
  <si>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</si>
  <si>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</si>
  <si>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</si>
  <si>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</si>
  <si>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</si>
  <si>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</si>
  <si>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</si>
  <si>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</si>
  <si>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</si>
  <si>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</si>
  <si>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</si>
  <si>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</si>
  <si>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</si>
  <si>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</si>
  <si>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</si>
  <si>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</si>
  <si>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</si>
  <si>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</si>
  <si>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</si>
  <si>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</si>
  <si>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</si>
  <si>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</si>
  <si>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</si>
  <si>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</si>
  <si>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</si>
  <si>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</si>
  <si>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</si>
  <si>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</si>
  <si>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</si>
  <si>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</si>
  <si>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</si>
  <si>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</si>
  <si>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</si>
  <si>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</si>
  <si>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</si>
  <si>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</si>
  <si>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</si>
  <si>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</si>
  <si>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</si>
  <si>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</si>
  <si>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</si>
  <si>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</si>
  <si>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</si>
  <si>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</si>
  <si>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</si>
  <si>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</si>
  <si>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</si>
  <si>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</si>
  <si>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</si>
  <si>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</si>
  <si>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</si>
  <si>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</si>
  <si>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</si>
  <si>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</si>
  <si>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</si>
  <si>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</si>
  <si>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</si>
  <si>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</si>
  <si>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</si>
  <si>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</si>
  <si>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</si>
  <si>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</si>
  <si>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</si>
  <si>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</si>
  <si>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</si>
  <si>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</si>
  <si>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</si>
  <si>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</si>
  <si>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</si>
  <si>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</si>
  <si>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</si>
  <si>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</si>
  <si>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</si>
  <si>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</si>
  <si>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</si>
  <si>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</si>
  <si>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</si>
  <si>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</si>
  <si>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</si>
  <si>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</si>
  <si>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</si>
  <si>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</si>
  <si>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</si>
  <si>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</si>
  <si>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</si>
  <si>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</si>
  <si>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</si>
  <si>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</si>
  <si>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</si>
  <si>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</si>
  <si>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</si>
  <si>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</si>
  <si>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</si>
  <si>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</si>
  <si>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</si>
  <si>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</si>
  <si>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</si>
  <si>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</si>
  <si>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</si>
  <si>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</si>
  <si>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</si>
  <si>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</si>
  <si>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</si>
  <si>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</si>
  <si>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</si>
  <si>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</si>
  <si>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</si>
  <si>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</si>
  <si>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</si>
  <si>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</si>
  <si>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</si>
  <si>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</si>
  <si>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</si>
  <si>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</si>
  <si>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</si>
  <si>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</si>
  <si>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</si>
  <si>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</si>
  <si>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</si>
  <si>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</si>
  <si>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</si>
  <si>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</si>
  <si>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</si>
  <si>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</si>
  <si>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</si>
  <si>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</si>
  <si>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</si>
  <si>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</si>
  <si>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</si>
  <si>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</si>
  <si>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</si>
  <si>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</si>
  <si>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</si>
  <si>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</si>
  <si>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</si>
  <si>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</si>
  <si>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</si>
  <si>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</si>
  <si>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</si>
  <si>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</si>
  <si>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</si>
  <si>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</si>
  <si>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</si>
  <si>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</si>
  <si>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</si>
  <si>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</si>
  <si>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</si>
  <si>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</si>
  <si>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</si>
  <si>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</si>
  <si>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</si>
  <si>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</si>
  <si>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</si>
  <si>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</si>
  <si>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</si>
  <si>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</si>
  <si>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</si>
  <si>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</si>
  <si>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</si>
  <si>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</si>
  <si>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</si>
  <si>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</si>
  <si>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</si>
  <si>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</si>
  <si>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</si>
  <si>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</si>
  <si>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</si>
  <si>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</si>
  <si>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</si>
  <si>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</si>
  <si>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</si>
  <si>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</si>
  <si>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</si>
  <si>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</si>
  <si>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</si>
  <si>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</si>
  <si>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</si>
  <si>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</si>
  <si>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</si>
  <si>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</si>
  <si>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</si>
  <si>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</si>
  <si>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</si>
  <si>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</si>
  <si>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</si>
  <si>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</si>
  <si>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</si>
  <si>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</si>
  <si>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</si>
  <si>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</si>
  <si>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</si>
  <si>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</si>
  <si>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</si>
  <si>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</si>
  <si>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</si>
  <si>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</si>
  <si>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</si>
  <si>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</si>
  <si>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</si>
  <si>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</si>
  <si>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</si>
  <si>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</si>
  <si>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</si>
  <si>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</si>
  <si>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</si>
  <si>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</si>
  <si>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</si>
  <si>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</si>
  <si>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</si>
  <si>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</si>
  <si>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</si>
  <si>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</si>
  <si>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</si>
  <si>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</si>
  <si>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</si>
  <si>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</si>
  <si>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</si>
  <si>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</si>
  <si>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</si>
  <si>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</si>
  <si>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</si>
  <si>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</si>
  <si>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</si>
  <si>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</si>
  <si>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</si>
  <si>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</si>
  <si>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</si>
  <si>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</si>
  <si>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</si>
  <si>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</si>
  <si>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</si>
  <si>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</si>
  <si>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</si>
  <si>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</si>
  <si>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</si>
  <si>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</si>
  <si>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</si>
  <si>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</si>
  <si>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</si>
  <si>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</si>
  <si>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</si>
  <si>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</si>
  <si>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</si>
  <si>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</si>
  <si>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</si>
  <si>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</si>
  <si>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</si>
  <si>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</si>
  <si>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</si>
  <si>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</si>
  <si>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</si>
  <si>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</si>
  <si>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</si>
  <si>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</si>
  <si>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</si>
  <si>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</si>
  <si>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</si>
  <si>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</si>
  <si>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</si>
  <si>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</si>
  <si>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</si>
  <si>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</si>
  <si>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</si>
  <si>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</si>
  <si>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</si>
  <si>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</si>
  <si>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</si>
  <si>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</si>
  <si>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</si>
  <si>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</si>
  <si>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</si>
  <si>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</si>
  <si>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</si>
  <si>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</si>
  <si>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</si>
  <si>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</si>
  <si>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</si>
  <si>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</si>
  <si>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</si>
  <si>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</si>
  <si>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</si>
  <si>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</si>
  <si>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</si>
  <si>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</si>
  <si>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</si>
  <si>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</si>
  <si>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</si>
  <si>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</si>
  <si>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</si>
  <si>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</si>
  <si>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</si>
  <si>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</si>
  <si>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</si>
  <si>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</si>
  <si>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</si>
  <si>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</si>
  <si>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</si>
  <si>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</si>
  <si>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</si>
  <si>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</si>
  <si>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</si>
  <si>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</si>
  <si>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</si>
  <si>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</si>
  <si>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</si>
  <si>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</si>
  <si>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</si>
  <si>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</si>
  <si>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</si>
  <si>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</si>
  <si>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</si>
  <si>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</si>
  <si>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</si>
  <si>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</si>
  <si>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</si>
  <si>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</si>
  <si>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</si>
  <si>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</si>
  <si>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</si>
  <si>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</si>
  <si>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</si>
  <si>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</si>
  <si>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</si>
  <si>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</si>
  <si>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</si>
  <si>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</si>
  <si>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</si>
  <si>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</si>
  <si>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</si>
  <si>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</si>
  <si>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</si>
  <si>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</si>
  <si>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</si>
  <si>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</si>
  <si>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</si>
  <si>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</si>
  <si>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</si>
  <si>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</si>
  <si>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</si>
  <si>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</si>
  <si>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</si>
  <si>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</si>
  <si>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</si>
  <si>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</si>
  <si>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</si>
  <si>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</si>
  <si>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</si>
  <si>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</si>
  <si>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</si>
  <si>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</si>
  <si>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</si>
  <si>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</si>
  <si>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</si>
  <si>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</si>
  <si>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</si>
  <si>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</si>
  <si>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</si>
  <si>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</si>
  <si>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</si>
  <si>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</si>
  <si>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</si>
  <si>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</si>
  <si>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</si>
  <si>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</si>
  <si>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</si>
  <si>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</si>
  <si>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</si>
  <si>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</si>
  <si>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</si>
  <si>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</si>
  <si>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</si>
  <si>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</si>
  <si>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</si>
  <si>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</si>
  <si>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</si>
  <si>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</si>
  <si>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</si>
  <si>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</si>
  <si>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</si>
  <si>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</si>
  <si>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</si>
  <si>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</si>
  <si>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</si>
  <si>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</si>
  <si>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</si>
  <si>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</si>
  <si>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</si>
  <si>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</si>
  <si>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</si>
  <si>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</si>
  <si>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</si>
  <si>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</si>
  <si>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</si>
  <si>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</si>
  <si>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</si>
  <si>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</si>
  <si>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</si>
  <si>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</si>
  <si>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</si>
  <si>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</si>
  <si>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</si>
  <si>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</si>
  <si>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</si>
  <si>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</si>
  <si>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</si>
  <si>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</si>
  <si>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</si>
  <si>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</si>
  <si>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</si>
  <si>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</si>
  <si>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</si>
  <si>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</si>
  <si>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</si>
  <si>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</si>
  <si>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</si>
  <si>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</si>
  <si>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</si>
  <si>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</si>
  <si>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</si>
  <si>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</si>
  <si>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</si>
  <si>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</si>
  <si>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</si>
  <si>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</si>
  <si>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</si>
  <si>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</si>
  <si>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</si>
  <si>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</si>
  <si>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</si>
  <si>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</si>
  <si>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</si>
  <si>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</si>
  <si>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</si>
  <si>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</si>
  <si>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</si>
  <si>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</si>
  <si>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</si>
  <si>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</si>
  <si>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</si>
  <si>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</si>
  <si>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</si>
  <si>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</si>
  <si>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</si>
  <si>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</si>
  <si>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</si>
  <si>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</si>
  <si>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</si>
  <si>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</si>
  <si>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</si>
  <si>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</si>
  <si>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</si>
  <si>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</si>
  <si>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</si>
  <si>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</si>
  <si>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</si>
  <si>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</si>
  <si>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</si>
  <si>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</si>
  <si>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</si>
  <si>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</si>
  <si>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</si>
  <si>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</si>
  <si>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</si>
  <si>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</si>
  <si>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</si>
  <si>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</si>
  <si>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</si>
  <si>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</si>
  <si>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</si>
  <si>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</si>
  <si>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</si>
  <si>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</si>
  <si>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</si>
  <si>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</si>
  <si>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</si>
  <si>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</si>
  <si>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</si>
  <si>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</si>
  <si>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</si>
  <si>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</si>
  <si>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</si>
  <si>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</si>
  <si>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</si>
  <si>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</si>
  <si>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</si>
  <si>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</si>
  <si>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</si>
  <si>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</si>
  <si>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</si>
  <si>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</si>
  <si>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</si>
  <si>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</si>
  <si>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</si>
  <si>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</si>
  <si>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</si>
  <si>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</si>
  <si>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</si>
  <si>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</si>
  <si>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</si>
  <si>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</si>
  <si>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</si>
  <si>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</si>
  <si>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</si>
  <si>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</si>
  <si>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</si>
  <si>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</si>
  <si>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</si>
  <si>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</si>
  <si>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</si>
  <si>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</si>
  <si>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</si>
  <si>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</si>
  <si>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</si>
  <si>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</si>
  <si>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</si>
  <si>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</si>
  <si>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</si>
  <si>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</si>
  <si>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</si>
  <si>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</si>
  <si>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</si>
  <si>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</si>
  <si>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</si>
  <si>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</si>
  <si>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</si>
  <si>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</si>
  <si>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</si>
  <si>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</si>
  <si>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</si>
  <si>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</si>
  <si>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</si>
  <si>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</si>
  <si>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</si>
  <si>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</si>
  <si>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</si>
  <si>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</si>
  <si>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</si>
  <si>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</si>
  <si>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</si>
  <si>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</si>
  <si>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</si>
  <si>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</si>
  <si>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</si>
  <si>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</si>
  <si>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</si>
  <si>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</si>
  <si>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</si>
  <si>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</si>
  <si>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</si>
  <si>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</si>
  <si>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</si>
  <si>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</si>
  <si>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</si>
  <si>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</si>
  <si>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</si>
  <si>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</si>
  <si>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</si>
  <si>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</si>
  <si>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</si>
  <si>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</si>
  <si>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</si>
  <si>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</si>
  <si>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</si>
  <si>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</si>
  <si>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</si>
  <si>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</si>
  <si>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</si>
  <si>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</si>
  <si>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</si>
  <si>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</si>
  <si>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</si>
  <si>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</si>
  <si>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</si>
  <si>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</si>
  <si>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</si>
  <si>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</si>
  <si>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</si>
  <si>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</si>
  <si>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</si>
  <si>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</si>
  <si>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</si>
  <si>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</si>
  <si>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</si>
  <si>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</si>
  <si>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</si>
  <si>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</si>
  <si>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</si>
  <si>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</si>
  <si>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</si>
  <si>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</si>
  <si>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</si>
  <si>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</si>
  <si>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</si>
  <si>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</si>
  <si>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</si>
  <si>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</si>
  <si>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</si>
  <si>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</si>
  <si>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</si>
  <si>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</si>
  <si>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</si>
  <si>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</si>
  <si>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</si>
  <si>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</si>
  <si>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</si>
  <si>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</si>
  <si>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</si>
  <si>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</si>
  <si>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</si>
  <si>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</si>
  <si>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</si>
  <si>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</si>
  <si>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</si>
  <si>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</si>
  <si>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</si>
  <si>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</si>
  <si>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</si>
  <si>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</si>
  <si>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</si>
  <si>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</si>
  <si>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</si>
  <si>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</si>
  <si>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</si>
  <si>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</si>
  <si>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</si>
  <si>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</si>
  <si>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</si>
  <si>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</si>
  <si>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</si>
  <si>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</si>
  <si>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</si>
  <si>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</si>
  <si>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</si>
  <si>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</si>
  <si>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</si>
  <si>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</si>
  <si>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</si>
  <si>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</si>
  <si>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</si>
  <si>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</si>
  <si>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</si>
  <si>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</si>
  <si>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</si>
  <si>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</si>
  <si>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</si>
  <si>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</si>
  <si>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</si>
  <si>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</si>
  <si>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</si>
  <si>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</si>
  <si>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</si>
  <si>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</si>
  <si>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</si>
  <si>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</si>
  <si>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</si>
  <si>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</si>
  <si>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</si>
  <si>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</si>
  <si>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</si>
  <si>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</si>
  <si>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</si>
  <si>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</si>
  <si>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</si>
  <si>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</si>
  <si>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</si>
  <si>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</si>
  <si>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</si>
  <si>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</si>
  <si>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</si>
  <si>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</si>
  <si>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</si>
  <si>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</si>
  <si>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</si>
  <si>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</si>
  <si>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</si>
  <si>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</si>
  <si>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</si>
  <si>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</si>
  <si>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</si>
  <si>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</si>
  <si>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</si>
  <si>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</si>
  <si>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</si>
  <si>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</si>
  <si>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</si>
  <si>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</si>
  <si>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</si>
  <si>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</si>
  <si>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</si>
  <si>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</si>
  <si>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</si>
  <si>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</si>
  <si>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</si>
  <si>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</si>
  <si>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</si>
  <si>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</si>
  <si>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</si>
  <si>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</si>
  <si>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</si>
  <si>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</si>
  <si>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</si>
  <si>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</si>
  <si>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</si>
  <si>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</si>
  <si>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</si>
  <si>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</si>
  <si>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</si>
  <si>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</si>
  <si>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</si>
  <si>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</si>
  <si>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</si>
  <si>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</si>
  <si>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</si>
  <si>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</si>
  <si>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</si>
  <si>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</si>
  <si>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</si>
  <si>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</si>
  <si>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</si>
  <si>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</si>
  <si>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</si>
  <si>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</si>
  <si>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</si>
  <si>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</si>
  <si>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</si>
  <si>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</si>
  <si>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</si>
  <si>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</si>
  <si>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</si>
  <si>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</si>
  <si>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</si>
  <si>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</si>
  <si>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</si>
  <si>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</si>
  <si>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</si>
  <si>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</si>
  <si>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</si>
  <si>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</si>
  <si>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</si>
  <si>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</si>
  <si>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</si>
  <si>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</si>
  <si>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</si>
  <si>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</si>
  <si>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</si>
  <si>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</si>
  <si>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</si>
  <si>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</si>
  <si>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</si>
  <si>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</si>
  <si>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</si>
  <si>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</si>
  <si>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</si>
  <si>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</si>
  <si>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</si>
  <si>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</si>
  <si>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</si>
  <si>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</si>
  <si>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</si>
  <si>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</si>
  <si>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</si>
  <si>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</si>
  <si>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</si>
  <si>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</si>
  <si>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</si>
  <si>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</si>
  <si>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</si>
  <si>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</si>
  <si>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</si>
  <si>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</si>
  <si>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</si>
  <si>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</si>
  <si>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</si>
  <si>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</si>
  <si>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</si>
  <si>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</si>
  <si>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</si>
  <si>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</si>
  <si>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</si>
  <si>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</si>
  <si>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</si>
  <si>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</si>
  <si>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</si>
  <si>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</si>
  <si>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</si>
  <si>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</si>
  <si>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</si>
  <si>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</si>
  <si>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</si>
  <si>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</si>
  <si>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</si>
  <si>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</si>
  <si>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</si>
  <si>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</si>
  <si>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</si>
  <si>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</si>
  <si>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</si>
  <si>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</si>
  <si>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</si>
  <si>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</si>
  <si>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</si>
  <si>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</si>
  <si>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</si>
  <si>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</si>
  <si>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</si>
  <si>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</si>
  <si>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</si>
  <si>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</si>
  <si>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</si>
  <si>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</si>
  <si>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</si>
  <si>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</si>
  <si>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</si>
  <si>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</si>
  <si>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</si>
  <si>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</si>
  <si>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</si>
  <si>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</si>
  <si>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</si>
  <si>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</si>
  <si>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</si>
  <si>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</si>
  <si>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</si>
  <si>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</si>
  <si>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</si>
  <si>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</si>
  <si>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</si>
  <si>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</si>
  <si>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</si>
  <si>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</si>
  <si>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</si>
  <si>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</si>
  <si>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</si>
  <si>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</si>
  <si>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</si>
  <si>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</si>
  <si>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</si>
  <si>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</si>
  <si>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</si>
  <si>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</si>
  <si>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</si>
  <si>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</si>
  <si>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</si>
  <si>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</si>
  <si>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</si>
  <si>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</si>
  <si>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</si>
  <si>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</si>
  <si>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</si>
  <si>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</si>
  <si>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</si>
  <si>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</si>
  <si>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</si>
  <si>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</si>
  <si>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</si>
  <si>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</si>
  <si>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</si>
  <si>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</si>
  <si>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</si>
  <si>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</si>
  <si>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</si>
  <si>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</si>
  <si>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</si>
  <si>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</si>
  <si>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</si>
  <si>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</si>
  <si>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</si>
  <si>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</si>
  <si>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</si>
  <si>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</si>
  <si>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</si>
  <si>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</si>
  <si>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</si>
  <si>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</si>
  <si>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</si>
  <si>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</si>
  <si>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</si>
  <si>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</si>
  <si>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</si>
  <si>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</si>
  <si>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</si>
  <si>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</si>
  <si>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</si>
  <si>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</si>
  <si>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</si>
  <si>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</si>
  <si>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</si>
  <si>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</si>
  <si>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</si>
  <si>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</si>
  <si>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</si>
  <si>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</si>
  <si>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</si>
  <si>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</si>
  <si>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</si>
  <si>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</si>
  <si>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</si>
  <si>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</si>
  <si>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</si>
  <si>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</si>
  <si>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</si>
  <si>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</si>
  <si>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</si>
  <si>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</si>
  <si>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</si>
  <si>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</si>
  <si>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</si>
  <si>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</si>
  <si>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</si>
  <si>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</si>
  <si>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</si>
  <si>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</si>
  <si>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</si>
  <si>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</si>
  <si>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</si>
  <si>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</si>
  <si>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</si>
  <si>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</si>
  <si>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</si>
  <si>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</si>
  <si>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</si>
  <si>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</si>
  <si>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</si>
  <si>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</si>
  <si>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</si>
  <si>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</si>
  <si>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</si>
  <si>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</si>
  <si>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</si>
  <si>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</si>
  <si>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</si>
  <si>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</si>
  <si>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</si>
  <si>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</si>
  <si>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</si>
  <si>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</si>
  <si>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</si>
  <si>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</si>
  <si>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</si>
  <si>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</si>
  <si>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</si>
  <si>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</si>
  <si>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</si>
  <si>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</si>
  <si>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</si>
  <si>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</si>
  <si>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</si>
  <si>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</si>
  <si>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</si>
  <si>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</si>
  <si>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</si>
  <si>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</si>
  <si>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</si>
  <si>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</si>
  <si>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</si>
  <si>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</si>
  <si>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</si>
  <si>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</si>
  <si>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</si>
  <si>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</si>
  <si>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</si>
  <si>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</si>
  <si>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</si>
  <si>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</si>
  <si>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</si>
  <si>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</si>
  <si>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</si>
  <si>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</si>
  <si>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</si>
  <si>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</si>
  <si>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</si>
  <si>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</si>
  <si>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</si>
  <si>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</si>
  <si>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</si>
  <si>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</si>
  <si>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</si>
  <si>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</si>
  <si>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</si>
  <si>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</si>
  <si>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</si>
  <si>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</si>
  <si>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</si>
  <si>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</si>
  <si>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</si>
  <si>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</si>
  <si>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</si>
  <si>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</si>
  <si>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</si>
  <si>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</si>
  <si>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</si>
  <si>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</si>
  <si>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</si>
  <si>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</si>
  <si>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</si>
  <si>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</si>
  <si>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</si>
  <si>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</si>
  <si>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</si>
  <si>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</si>
  <si>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</si>
  <si>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</si>
  <si>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</si>
  <si>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</si>
  <si>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</si>
  <si>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</si>
  <si>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</si>
  <si>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</si>
  <si>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</si>
  <si>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</si>
  <si>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</si>
  <si>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</si>
  <si>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</si>
  <si>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</si>
  <si>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</si>
  <si>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</si>
  <si>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</si>
  <si>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</si>
  <si>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</si>
  <si>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</si>
  <si>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</si>
  <si>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</si>
  <si>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</si>
  <si>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</si>
  <si>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</si>
  <si>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</si>
  <si>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</si>
  <si>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</si>
  <si>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</si>
  <si>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</si>
  <si>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</si>
  <si>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</si>
  <si>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</si>
  <si>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</si>
  <si>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</si>
  <si>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</si>
  <si>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</si>
  <si>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</si>
  <si>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</si>
  <si>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</si>
  <si>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</si>
  <si>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</si>
  <si>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</si>
  <si>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</si>
  <si>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</si>
  <si>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</si>
  <si>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</si>
  <si>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</si>
  <si>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</si>
  <si>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</si>
  <si>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</si>
  <si>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</si>
  <si>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</si>
  <si>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</si>
  <si>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</si>
  <si>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</si>
  <si>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</si>
  <si>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</si>
  <si>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</si>
  <si>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</si>
  <si>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</si>
  <si>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</si>
  <si>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</si>
  <si>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</si>
  <si>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</si>
  <si>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</si>
  <si>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</si>
  <si>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</si>
  <si>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</si>
  <si>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</si>
  <si>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</si>
  <si>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</si>
  <si>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</si>
  <si>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</si>
  <si>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</si>
  <si>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</si>
  <si>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</si>
  <si>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</si>
  <si>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</si>
  <si>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</si>
  <si>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</si>
  <si>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</si>
  <si>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</si>
  <si>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</si>
  <si>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</si>
  <si>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</si>
  <si>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</si>
  <si>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</si>
  <si>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</si>
  <si>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</si>
  <si>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</si>
  <si>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</si>
  <si>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</si>
  <si>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</si>
  <si>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</si>
  <si>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</si>
  <si>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</si>
  <si>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</si>
  <si>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</si>
  <si>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</si>
  <si>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</si>
  <si>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</si>
  <si>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</si>
  <si>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</si>
  <si>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</si>
  <si>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</si>
  <si>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</si>
  <si>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</si>
  <si>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</si>
  <si>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</si>
  <si>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</si>
  <si>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</si>
  <si>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</si>
  <si>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</si>
  <si>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</si>
  <si>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</si>
  <si>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</si>
  <si>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</si>
  <si>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</si>
  <si>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</si>
  <si>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</si>
  <si>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</si>
  <si>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</si>
  <si>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</si>
  <si>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</si>
  <si>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</si>
  <si>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</si>
  <si>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</si>
  <si>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</si>
  <si>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</si>
  <si>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</si>
  <si>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</si>
  <si>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</si>
  <si>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</si>
  <si>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</si>
  <si>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</si>
  <si>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</si>
  <si>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</si>
  <si>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</si>
  <si>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</si>
  <si>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</si>
  <si>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</si>
  <si>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</si>
  <si>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</si>
  <si>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</si>
  <si>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</si>
  <si>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</si>
  <si>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</si>
  <si>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</si>
  <si>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</si>
  <si>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</si>
  <si>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</si>
  <si>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</si>
  <si>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</si>
  <si>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</si>
  <si>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</si>
  <si>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</si>
  <si>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</si>
  <si>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</si>
  <si>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</si>
  <si>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</si>
  <si>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</si>
  <si>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</si>
  <si>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</si>
  <si>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</si>
  <si>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</si>
  <si>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</si>
  <si>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</si>
  <si>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</si>
  <si>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</si>
  <si>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</si>
  <si>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</si>
  <si>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</si>
  <si>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</si>
  <si>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</si>
  <si>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</si>
  <si>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</si>
  <si>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</si>
  <si>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</si>
  <si>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</si>
  <si>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</si>
  <si>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</si>
  <si>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</si>
  <si>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</si>
  <si>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</si>
  <si>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</si>
  <si>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</si>
  <si>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</si>
  <si>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</si>
  <si>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</si>
  <si>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</si>
  <si>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</si>
  <si>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</si>
  <si>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</si>
  <si>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</si>
  <si>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</si>
  <si>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</si>
  <si>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</si>
  <si>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</si>
  <si>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</si>
  <si>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</si>
  <si>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</si>
  <si>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</si>
  <si>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</si>
  <si>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</si>
  <si>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</si>
  <si>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</si>
  <si>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</si>
  <si>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</si>
  <si>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</si>
  <si>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</si>
  <si>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</si>
  <si>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</si>
  <si>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</si>
  <si>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</si>
  <si>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</si>
  <si>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</si>
  <si>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</si>
  <si>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</si>
  <si>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</si>
  <si>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</si>
  <si>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</si>
  <si>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</si>
  <si>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</si>
  <si>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</si>
  <si>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</si>
  <si>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</si>
  <si>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</si>
  <si>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</si>
  <si>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</si>
  <si>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</si>
  <si>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</si>
  <si>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</si>
  <si>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</si>
  <si>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</si>
  <si>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</si>
  <si>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</si>
  <si>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</si>
  <si>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</si>
  <si>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</si>
  <si>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</si>
  <si>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</si>
  <si>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</si>
  <si>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</si>
  <si>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</si>
  <si>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</si>
  <si>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</si>
  <si>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</si>
  <si>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</si>
  <si>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</si>
  <si>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</si>
  <si>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</si>
  <si>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</si>
  <si>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</si>
  <si>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</si>
  <si>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</si>
  <si>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</si>
  <si>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</si>
  <si>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</si>
  <si>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</si>
  <si>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</si>
  <si>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</si>
  <si>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</si>
  <si>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</si>
  <si>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</si>
  <si>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</si>
  <si>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</si>
  <si>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</si>
  <si>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</si>
  <si>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</si>
  <si>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</si>
  <si>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</si>
  <si>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</si>
  <si>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</si>
  <si>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</si>
  <si>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</si>
  <si>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</si>
  <si>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</si>
  <si>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</si>
  <si>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</si>
  <si>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</si>
  <si>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</si>
  <si>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</si>
  <si>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</si>
  <si>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</si>
  <si>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</si>
  <si>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</si>
  <si>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</si>
  <si>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</si>
  <si>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</si>
  <si>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</si>
  <si>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</si>
  <si>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</si>
  <si>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</si>
  <si>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</si>
  <si>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</si>
  <si>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</si>
  <si>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</si>
  <si>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</si>
  <si>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</si>
  <si>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</si>
  <si>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</si>
  <si>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</si>
  <si>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</si>
  <si>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</si>
  <si>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</si>
  <si>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</si>
  <si>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</si>
  <si>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</si>
  <si>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</si>
  <si>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</si>
  <si>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</si>
  <si>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</si>
  <si>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</si>
  <si>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</si>
  <si>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</si>
  <si>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</si>
  <si>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</si>
  <si>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</si>
  <si>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</si>
  <si>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</si>
  <si>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</si>
  <si>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</si>
  <si>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</si>
  <si>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</si>
  <si>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</si>
  <si>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</si>
  <si>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</si>
  <si>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</si>
  <si>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</si>
  <si>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</si>
  <si>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</si>
  <si>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</si>
  <si>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</si>
  <si>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</si>
  <si>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</si>
  <si>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</si>
  <si>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</si>
  <si>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</si>
  <si>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</si>
  <si>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</si>
  <si>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</si>
  <si>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</si>
  <si>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</si>
  <si>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</si>
  <si>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</si>
  <si>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</si>
  <si>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</si>
  <si>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</si>
  <si>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</si>
  <si>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</si>
  <si>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</si>
  <si>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</si>
  <si>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</si>
  <si>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</si>
  <si>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</si>
  <si>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</si>
  <si>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</si>
  <si>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</si>
  <si>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</si>
  <si>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</si>
  <si>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</si>
  <si>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</si>
  <si>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</si>
  <si>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</si>
  <si>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</si>
  <si>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</si>
  <si>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</si>
  <si>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</si>
  <si>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</si>
  <si>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</si>
  <si>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</si>
  <si>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</si>
  <si>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</si>
  <si>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</si>
  <si>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</si>
  <si>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</si>
  <si>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</si>
  <si>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</si>
  <si>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</si>
  <si>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</si>
  <si>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</si>
  <si>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</si>
  <si>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</si>
  <si>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</si>
  <si>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</si>
  <si>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</si>
  <si>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</si>
  <si>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</si>
  <si>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</si>
  <si>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</si>
  <si>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</si>
  <si>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</si>
  <si>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</si>
  <si>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</si>
  <si>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</si>
  <si>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</si>
  <si>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</si>
  <si>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</si>
  <si>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</si>
  <si>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</si>
  <si>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</si>
  <si>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</si>
  <si>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</si>
  <si>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</si>
  <si>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</si>
  <si>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</si>
  <si>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</si>
  <si>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</si>
  <si>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</si>
  <si>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</si>
  <si>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</si>
  <si>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</si>
  <si>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</si>
  <si>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</si>
  <si>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</si>
  <si>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</si>
  <si>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</si>
  <si>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</si>
  <si>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</si>
  <si>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</si>
  <si>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</si>
  <si>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</si>
  <si>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</si>
  <si>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</si>
  <si>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</si>
  <si>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</si>
  <si>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</si>
  <si>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</si>
  <si>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</si>
  <si>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</si>
  <si>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</si>
  <si>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</si>
  <si>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</si>
  <si>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</si>
  <si>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</si>
  <si>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</si>
  <si>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</si>
  <si>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</si>
  <si>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</si>
  <si>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</si>
  <si>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</si>
  <si>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</si>
  <si>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</si>
  <si>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</si>
  <si>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</si>
  <si>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</si>
  <si>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</si>
  <si>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</si>
  <si>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</si>
  <si>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</si>
  <si>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</si>
  <si>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</si>
  <si>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</si>
  <si>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</si>
  <si>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</si>
  <si>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</si>
  <si>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</si>
  <si>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</si>
  <si>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</si>
  <si>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</si>
  <si>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</si>
  <si>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</si>
  <si>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</si>
  <si>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</si>
  <si>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</si>
  <si>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</si>
  <si>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</si>
  <si>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</si>
  <si>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</si>
  <si>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</si>
  <si>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</si>
  <si>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</si>
  <si>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</si>
  <si>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</si>
  <si>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</si>
  <si>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</si>
  <si>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</si>
  <si>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</si>
  <si>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</si>
  <si>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</si>
  <si>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</si>
  <si>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</si>
  <si>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</si>
  <si>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</si>
  <si>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</si>
  <si>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</si>
  <si>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</si>
  <si>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</si>
  <si>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</si>
  <si>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</si>
  <si>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</si>
  <si>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</si>
  <si>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</si>
  <si>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</si>
  <si>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</si>
  <si>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</si>
  <si>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</si>
  <si>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</si>
  <si>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</si>
  <si>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</si>
  <si>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</si>
  <si>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</si>
  <si>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</si>
  <si>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</si>
  <si>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</si>
  <si>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</si>
  <si>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</si>
  <si>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</si>
  <si>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</si>
  <si>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</si>
  <si>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</si>
  <si>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</si>
  <si>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</si>
  <si>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</si>
  <si>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</si>
  <si>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</si>
  <si>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</si>
  <si>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</si>
  <si>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</si>
  <si>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</si>
  <si>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</si>
  <si>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</si>
  <si>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</si>
  <si>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</si>
  <si>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</si>
  <si>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</si>
  <si>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</si>
  <si>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</si>
  <si>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</si>
  <si>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</si>
  <si>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</si>
  <si>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</si>
  <si>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</si>
  <si>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</si>
  <si>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</si>
  <si>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</si>
  <si>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</si>
  <si>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</si>
  <si>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</si>
  <si>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</si>
  <si>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</si>
  <si>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</si>
  <si>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</si>
  <si>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</si>
  <si>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</si>
  <si>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</si>
  <si>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</si>
  <si>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</si>
  <si>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</si>
  <si>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</si>
  <si>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</si>
  <si>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</si>
  <si>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</si>
  <si>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</si>
  <si>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</si>
  <si>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</si>
  <si>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</si>
  <si>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</si>
  <si>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</si>
  <si>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</si>
  <si>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</si>
  <si>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</si>
  <si>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</si>
  <si>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</si>
  <si>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</si>
  <si>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</si>
  <si>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</si>
  <si>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</si>
  <si>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</si>
  <si>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</si>
  <si>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</si>
  <si>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</si>
  <si>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</si>
  <si>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</si>
  <si>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</si>
  <si>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</si>
  <si>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</si>
  <si>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</si>
  <si>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</si>
  <si>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</si>
  <si>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</si>
  <si>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</si>
  <si>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</si>
  <si>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</si>
  <si>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</si>
  <si>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</si>
  <si>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</si>
  <si>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</si>
  <si>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</si>
  <si>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</si>
  <si>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</si>
  <si>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</si>
  <si>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</si>
  <si>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</si>
  <si>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</si>
  <si>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</si>
  <si>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</si>
  <si>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</si>
  <si>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</si>
  <si>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</si>
  <si>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</si>
  <si>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</si>
  <si>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</si>
  <si>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</si>
  <si>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</si>
  <si>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</si>
  <si>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</si>
  <si>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</si>
  <si>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</si>
  <si>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</si>
  <si>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</si>
  <si>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</si>
  <si>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</si>
  <si>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</si>
  <si>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</si>
  <si>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</si>
  <si>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</si>
  <si>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</si>
  <si>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</si>
  <si>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</si>
  <si>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</si>
  <si>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</si>
  <si>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</si>
  <si>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</si>
  <si>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</si>
  <si>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</si>
  <si>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</si>
  <si>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</si>
  <si>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</si>
  <si>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</si>
  <si>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</si>
  <si>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</si>
  <si>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</si>
  <si>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</si>
  <si>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</si>
  <si>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</si>
  <si>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</si>
  <si>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</si>
  <si>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</si>
  <si>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</si>
  <si>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</si>
  <si>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</si>
  <si>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</si>
  <si>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</si>
  <si>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</si>
  <si>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</si>
  <si>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</si>
  <si>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</si>
  <si>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</si>
  <si>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</si>
  <si>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</si>
  <si>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</si>
  <si>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</si>
  <si>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</si>
  <si>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</si>
  <si>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</si>
  <si>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</si>
  <si>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'/Users/steffen/Documents/GitHub/Excel Leads/Mails'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</si>
  <si>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</si>
  <si>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</si>
  <si>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</si>
  <si>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</si>
  <si>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</si>
  <si>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</si>
  <si>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</si>
  <si>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Moeglicherweise gleiche Person. Leadtyp: Neue Anfrage, Datum: 02.01.26</t>
  </si>
  <si>
    <t>Aehnlicher Name gefunden: 'Teresia Fleck' vs. bestehend 'Fleck, Theresia' (Distanz: 1)</t>
  </si>
  <si>
    <t>Hinweis</t>
  </si>
  <si>
    <t>ⓘ</t>
  </si>
  <si>
    <t>Name wird als 'Christiane Dini' eingetragen. Leadtyp: Neue Anfrage, Datum: 02.01.26</t>
  </si>
  <si>
    <t>Namens-Vertauschung erkannt: 'Christiane Dini' vs. bestehend 'Dini Christiane'</t>
  </si>
  <si>
    <t>Moeglicherweise gleiche Person. Leadtyp: Lead, Datum: 02.01.26</t>
  </si>
  <si>
    <t>Aehnlicher Name gefunden: 'Rosi Hennig-Pfeffer' vs. bestehend 'Henning-Pfeffer, Rosi' (Distanz: 1)</t>
  </si>
  <si>
    <t>Details / Ursache</t>
  </si>
  <si>
    <t>Meldung</t>
  </si>
  <si>
    <t>Zeitstempel</t>
  </si>
  <si>
    <t>Typ</t>
  </si>
  <si>
    <t>⚠</t>
  </si>
  <si>
    <t>Info Vitalis</t>
  </si>
  <si>
    <t>Lead</t>
  </si>
  <si>
    <t>Lead erhalten</t>
  </si>
  <si>
    <t>Rosi Hennig-Pfeffer</t>
  </si>
  <si>
    <t>Margot Ettenhuber</t>
  </si>
  <si>
    <t>Trausan N/A</t>
  </si>
  <si>
    <t>Neue Anfrage</t>
  </si>
  <si>
    <t>Teresia Fleck</t>
  </si>
  <si>
    <t>Aehnlicher Name gefunden: 'Susanna Teschner' vs. bestehend 'Teschner, Susanne' (Distanz: 1)</t>
  </si>
  <si>
    <t>Moeglicherweise gleiche Person. Leadtyp: Lead, Datum: 15.01.26</t>
  </si>
  <si>
    <t>Susanna Teschner</t>
  </si>
  <si>
    <t>Karim  Maghrebi</t>
  </si>
  <si>
    <t>manooch.derakhshan derakhshan</t>
  </si>
  <si>
    <t>Sirikit Hermann</t>
  </si>
  <si>
    <t>+49 17645530906</t>
  </si>
  <si>
    <t>Betreff: Fw: Alltagshilfe Lead | ID: 8e3b5bd0-0b63-459a-9fec-b05051119aac
Datei: Fw_ Alltagshilfe Lead | ID_ 8e3b5bd0-0b63-459a-9fec-b05051119aac 2.eml
E-Mail: hennigpfeffer@gmail.com
Senior Name: Rosi Hennig-Pfeffer
Pflegegrad Status: Pflegegrad vorhanden
Nutzer: Selbst
Alltagshilfe Aufgaben: hauswirtschaft
Alltagshilfe Häufigkeit: 1x pro Woche
ID: 8e3b5bd0-0b63-459a-9fec-b05051119aac</t>
  </si>
  <si>
    <t>Betreff: Fw: Alltagshilfe Lead | ID: 80eff84a-a93d-44bc-ac32-d302ed07c8df
Datei: Fw_ Alltagshilfe Lead | ID_ 80eff84a-a93d-44bc-ac32-d302ed07c8df.eml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</si>
  <si>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Betreff: Fw: Alltagshilfe Lead | ID: a305c19d-b3b1-4427-90ce-9470ebeeac02
Datei: Fw_ Alltagshilfe Lead | ID_ a305c19d-b3b1-4427-90ce-9470ebeeac02.eml
E-Mail: ttrausan73@gmail.com
Senior Name: Trausan N/A
Pflegegrad Status: Pflegegrad vorhanden
Nutzer: Selbst
Alltagshilfe Aufgaben: hauswirtschaft
Alltagshilfe Häufigkeit: 1x pro Woche
ID: A305c19d-b3b1-4427-90ce-9470ebeeac02</t>
  </si>
  <si>
    <t>Betreff: Fw: Neue Anfrage: Teresia Fleck
Datei: Fw_ Neue Anfrage_ Teresia Fleck.eml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</si>
  <si>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Betreff: WG: Alltagshilfe Lead | ID: 5a551a4e-2b9b-402d-bf18-0259e5130dc0
Datei: WG_ Alltagshilfe Lead | ID_ 5a551a4e-2b9b-402d-bf18-0259e5130dc0.eml
E-Mail: teschnersusi@gmail.com
Senior Name: Susanna Teschner
Pflegegrad Status: Pflegegrad vorhanden
Nutzer: Selbst
Alltagshilfe Aufgaben: hauswirtschaft
Alltagshilfe Häufigkeit: 1x pro Woche
ID: 5a551a4e-2b9b-402d-bf18-0259e5130dc0</t>
  </si>
  <si>
    <t>Betreff: WG: Alltagshilfe Lead | ID: 220bdb65-7229-493f-878f-ff1407b6f199
Datei: WG_ Alltagshilfe Lead | ID_ 220bdb65-7229-493f-878f-ff1407b6f199 2.eml
E-Mail: mderakhshan@web.de
Senior Name: manooch.derakhshan derakhshan
Pflegegrad Status: Pflegegrad vorhanden
Nutzer: Selbst
Alltagshilfe Aufgaben: hauswirtschaft
Alltagshilfe Häufigkeit: Mehr als 2x pro Woche
ID: 220bdb65-7229-493f-878f-ff1407b6f199</t>
  </si>
  <si>
    <t>Betreff: WG: Neue Anfrage: Sirikit Hermann
Datei: WG_ Neue Anfrage_ Sirikit Hermann.eml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</si>
  <si>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Name-Duplikat erkannt (nach Normalisierung): 'Axel Rogge' = bestehend 'Rogge, Axel'</t>
  </si>
  <si>
    <t>Eintrag wird uebersprungen. Leadtyp: Lead, Datum: 10.02.26</t>
  </si>
  <si>
    <t>Name-Duplikat erkannt (nach Normalisierung): 'Helga Konig' = bestehend 'Konig, Helga'</t>
  </si>
  <si>
    <t>Eintrag wird uebersprungen. Leadtyp: Lead, Datum: 02.01.26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</si>
  <si>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</si>
  <si>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</si>
  <si>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</si>
  <si>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</si>
  <si>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Gleiche Person - Eintrag wird uebersprungen. Leadtyp: Neue Anfrage, Datum: 02.01.26</t>
  </si>
  <si>
    <t>Name-Duplikat erkannt (nach Normalisierung): 'Isolde Kettenstock' = bestehend 'Kettenstock, Isolde'</t>
  </si>
  <si>
    <t>Eintrag wird uebersprungen. Leadtyp: Neue Anfrage, Datum: 02.01.26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</si>
  <si>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</si>
  <si>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</si>
  <si>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</si>
  <si>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Eintrag wird uebersprungen. Leadtyp: Lead, Datum: 15.01.26</t>
  </si>
  <si>
    <t>Eintrag wird uebersprungen. Leadtyp: Lead, Datum: 11.01.26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</si>
  <si>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</si>
  <si>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</si>
  <si>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</si>
  <si>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</si>
  <si>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</si>
  <si>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Eintrag wird uebersprungen. Leadtyp: Neue Anfrage, Datum: 15.01.26</t>
  </si>
  <si>
    <t>Name-Duplikat erkannt (nach Normalisierung): 'Edeltraud Hörath' = bestehend 'Edeltraud Hörath'</t>
  </si>
  <si>
    <t>Name-Duplikat erkannt (nach Normalisierung): 'Elisabeth Spitzweck' = bestehend 'Spitzweck, Elisabeth'</t>
  </si>
  <si>
    <t>Name-Duplikat erkannt (nach Normalisierung): 'Irene Schnell' = bestehend 'Irene Schnell'</t>
  </si>
  <si>
    <t>Eintrag wird uebersprungen. Leadtyp: Neue Anfrage, Datum: 11.01.26</t>
  </si>
  <si>
    <t>Name-Duplikat erkannt (nach Normalisierung): 'Karin Meier' = bestehend 'Karin Meier'</t>
  </si>
  <si>
    <t>Name-Duplikat erkannt (nach Normalisierung): 'Magda Langenbach' = bestehend 'Magda Langenbach'</t>
  </si>
  <si>
    <t>Name-Duplikat erkannt (nach Normalisierung): 'Manfred Kosak' = bestehend 'Manfred Kosak'</t>
  </si>
  <si>
    <t>Name-Duplikat erkannt (nach Normalisierung): 'Meggy Kaiser' = bestehend 'Meggy Kaiser'</t>
  </si>
  <si>
    <t>Name-Duplikat erkannt (nach Normalisierung): 'Sabine Bäuml' = bestehend 'Sabine Bäuml'</t>
  </si>
  <si>
    <t>Name-Duplikat erkannt (nach Normalisierung): 'Tim Douglas' = bestehend 'Douglas, Tim'</t>
  </si>
  <si>
    <t>Eintrag wird uebersprungen. Leadtyp: Neue Anfrage, Datum: 23.01.26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</si>
</sst>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0"/>
      <color rgb="FF000000"/>
      <name val="Tahoma"/>
      <family val="2"/>
    </font>
    <font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0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0" fontId="10" fillId="7" borderId="0" xfId="6" applyFont="1" applyFill="1"/>
    <xf numFmtId="22" fontId="12" fillId="0" borderId="0" xfId="0" applyNumberFormat="1" applyFont="1" applyAlignment="1">
      <alignment horizontal="center"/>
    </xf>
    <xf numFmtId="16" fontId="9" fillId="5" borderId="0" xfId="0" applyNumberFormat="1" applyFont="1" applyFill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4">
    <dxf>
      <numFmt numFmtId="0" formatCode="General"/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131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51-E345-87A2-CFE4F0C854C2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51-E345-87A2-CFE4F0C85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739199"/>
        <c:axId val="338126463"/>
      </c:lineChart>
      <c:dateAx>
        <c:axId val="329739199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338126463"/>
        <c:crosses val="autoZero"/>
        <c:auto val="1"/>
        <c:lblOffset val="100"/>
        <c:baseTimeUnit val="months"/>
      </c:dateAx>
      <c:valAx>
        <c:axId val="3381264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973919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C-5E4C-81D5-210DE5177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937727"/>
        <c:axId val="291944447"/>
      </c:barChart>
      <c:dateAx>
        <c:axId val="291937727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91944447"/>
        <c:crosses val="autoZero"/>
        <c:auto val="1"/>
        <c:lblOffset val="100"/>
        <c:baseTimeUnit val="months"/>
      </c:dateAx>
      <c:valAx>
        <c:axId val="2919444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1937727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1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68D1D08F-91E5-EC27-742F-4195BD2D504A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04AF3867-A470-5B3F-37B6-18370AD0C379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1F6D81DB-D420-93A5-DB20-EAA18A7C5727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25E90F6D-9747-7839-96B4-398B9516F6E0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1DD1EE9-E505-F5C6-A0AC-25CF2A9546F7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C3EAC103-1D51-A88D-C2A0-54E3F5A2B0C1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7FBC9D84-CA08-2419-6E19-65B769864D2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7D39AFB6-BED7-69C9-8EDD-59DA089CFD40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13,3%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CEB5259A-83EE-35CD-8581-907C39436245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6311F288-9DDC-91C7-8A3D-5857D122C782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AD74244D-3AEE-3CD6-7C94-D83171D810E7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0662B2BA-5353-3992-E0AB-73DD469E39B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8738C133-0F12-418D-5137-4E21A6F7D368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7A5C1826-11A6-F08F-CE7D-52A10B64161F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01882FCB-7780-57B3-A8BB-8F68309BF6E6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92180348-1020-5601-0A70-488EFAEC88C5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9CF0173B-4536-4A27-9D96-C7D0A194A5C1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1B556988-1464-FC48-6EF4-5AA734F4A849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12F0FF66-811B-DDE0-AC45-EE8FD370A660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1C305AF4-EB0E-442F-08FF-EBE11DAB2C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EF9B092F-4949-37A0-6E1D-1D51B8C80F35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C0F2A3C5-6390-731E-DB67-F03397C05BF7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13FC8C6E-BAB4-83B2-D8CC-8CA3B0B9C8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02868DC2-550E-D605-D399-27188599CC6D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371E925D-F57B-EF73-B0C4-C2696642C666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99E66F8F-BC97-DE53-C2FB-43A4199D9F36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8B0B49C0-79C2-AC99-BD85-E142FE9842DF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949082BC-3791-7F53-CED4-CFB09442BC33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C0D714CF-1B36-D5F4-B009-7E79D8792A0C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4033D4E6-019B-A258-FB53-C27934D8DE18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023B6A66-8830-C648-479E-AA621236FE8E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55349025-888F-D11D-3ECF-B581F2E08EDD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E440AE4A-A808-FEE6-F620-31B2062612AC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3B083F21-BB4F-7840-C301-D57E00A00DAA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54C1370E-D00D-F1E2-BB5B-2B310FA0B9B3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DA810B91-554C-030B-4E7D-AE670815548D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861BE42-0A8A-719D-489C-D4AE2D760D67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74DA66EC-CD0D-35A2-D30E-1C5BBEE68039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184B318D-47C8-59B8-680E-2026EF01509F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6D7D6668-1995-756E-5269-8823AC901F14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D8ABCFE3-4666-1981-1896-50F4C746A9D3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277FBFF3-1761-E8D4-523A-61634C0231B7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65B9102D-5534-0005-A486-DE5C4C30E0E5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66667739-4C9A-C6EE-7400-ED125D8C3DAD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29B4E897-1A09-C786-CE32-C579204C1CC6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0DFE4866-D83E-D8B2-0559-E67BA55B3680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41372D08-52A5-EE86-7381-53A984F885B4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B3E3A269-0C86-F386-BDAE-C57DF2A11A0A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2261DBF9-EBD4-EB68-0536-1AA5904C837A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553E299E-A591-E5E0-478F-C3E86F90BC65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8B06A4AC-475C-EA77-01DB-C97B09F8EE58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0357AA22-2312-B6DF-A02C-13D696549C85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7A1E8FD-B877-F307-20D4-70CAEE10F7DC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A79975D4-53EF-C353-7F7F-314A35F7A83D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F15644E6-FB68-74AD-D6FC-4BF1BFF98604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4C7D6BC1-93ED-D648-281D-6D069CAE542B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94995FD1-692A-832C-C7D4-C6685C7E3B25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9A3BDC4D-23A9-15AC-17C2-19278D0F1EE3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CD90ADD5-D150-261A-B4B1-0E8D53F3F58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5E337CBB-A6C2-53A3-BBDB-EF8CD7D409A4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147631D7-8816-8987-0D41-B1F5FB6CC668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BB8A18D8-3949-4991-2900-218566AE12AC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(131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CE449579-A6D6-2384-B1DD-5105ADFA8534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936073AB-D1EC-F909-5CCD-02E13FE39EE7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4A57FCEC-09C7-F811-12D2-907F70FFAFA2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7AE19CEE-B09F-6432-A94F-DDE24B4C2ED6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518" name="Abgerundetes Rechteck 517">
          <a:extLst>
            <a:ext uri="{FF2B5EF4-FFF2-40B4-BE49-F238E27FC236}">
              <a16:creationId xmlns:a16="http://schemas.microsoft.com/office/drawing/2014/main" id="{47763666-1D2C-E462-D119-6E1176C2C982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7A453D3F-3D54-8076-473F-CB12603D3180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BF0F8E86-506F-48BD-955C-B8BE5A4605F7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4354CD80-3C5B-EFCA-087C-97EEA1DCAE6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E03586B9-6356-1BD4-6C08-0915B86B5186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523" name="Rechteck 522">
          <a:extLst>
            <a:ext uri="{FF2B5EF4-FFF2-40B4-BE49-F238E27FC236}">
              <a16:creationId xmlns:a16="http://schemas.microsoft.com/office/drawing/2014/main" id="{AE8E0288-84C4-E8F8-13EC-30A2E6AE4B96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AF2E7D34-E5BA-590C-B12C-DCFB8E22ADB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A03028FC-7B9F-C750-4452-AE5DDA37C98A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476257DF-A5B7-826D-AC30-25E1282DECB8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05E48B61-DCBF-DEE9-07D5-7E60FA45784E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F2900085-60AA-AAA8-8835-D308E4D05DCC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8567C12F-4761-185C-D19F-EC612E527026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530" name="Textfeld 529">
          <a:extLst>
            <a:ext uri="{FF2B5EF4-FFF2-40B4-BE49-F238E27FC236}">
              <a16:creationId xmlns:a16="http://schemas.microsoft.com/office/drawing/2014/main" id="{7A4DCFDD-DBCB-84BC-2385-1160BFB736D8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B6721C40-C1B1-E34B-C882-61B0D0B2EEBC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FBE33364-1FF5-8E0D-2CF7-7A06249FAD81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2BB713D4-1C47-A432-1641-2AA6C6CA4EB3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F541A2FB-0917-1ECF-11E7-EDCFCB2BE8A3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C2191394-0AA2-90D5-BA80-E62FBC7C43E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36" name="Abgerundetes Rechteck 535">
          <a:extLst>
            <a:ext uri="{FF2B5EF4-FFF2-40B4-BE49-F238E27FC236}">
              <a16:creationId xmlns:a16="http://schemas.microsoft.com/office/drawing/2014/main" id="{ABF27535-4F4D-DB7B-2843-2ED40735055D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DE1CD722-0F3E-5301-DFB5-75FC266699D7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1C41AF2A-6A8A-3B4C-9834-55AF32D24CBE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C53D8FFB-624F-C309-BBEC-74075F8F6A8E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011466C9-144D-109D-3FE8-46C8EBB0EECF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F0432624-C838-510B-41C7-201923C482A3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2BF93AB6-D93A-95AC-4E27-D3874AF5FE95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43" name="Rechteck 542">
          <a:extLst>
            <a:ext uri="{FF2B5EF4-FFF2-40B4-BE49-F238E27FC236}">
              <a16:creationId xmlns:a16="http://schemas.microsoft.com/office/drawing/2014/main" id="{D88F98AA-160B-A362-B34D-F6120189E45C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CBE479BA-E40C-7591-FA01-3402086DB951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15BD92DB-FF79-CC0E-CC8A-E9EA067444CD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131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4D72AE9D-CB1A-F781-7465-E229033973FC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18644791-A27F-72D4-AD11-F7B36689D695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217EFFB0-F5AF-B132-F0DA-1C4A056A655B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15,3%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7C5286D4-49FC-1F49-70B7-F898EC70B1C5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A39977A1-6BD1-A117-746E-A3F1EED04B61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51" name="Textfeld 550">
          <a:extLst>
            <a:ext uri="{FF2B5EF4-FFF2-40B4-BE49-F238E27FC236}">
              <a16:creationId xmlns:a16="http://schemas.microsoft.com/office/drawing/2014/main" id="{A3183DD6-BCDB-1E2A-E320-352008D90C12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F495ABA3-C323-4BFA-64AA-A0489B9C5A8F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E20E3015-0F75-C96C-07A8-2C002D318DB3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4" name="Abgerundetes Rechteck 553">
          <a:extLst>
            <a:ext uri="{FF2B5EF4-FFF2-40B4-BE49-F238E27FC236}">
              <a16:creationId xmlns:a16="http://schemas.microsoft.com/office/drawing/2014/main" id="{32E7D3B7-7FEF-8EF1-8B0E-3F09F0282980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C2691393-C917-9C34-C2B1-187DFE33053D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6" name="Textfeld 555">
          <a:extLst>
            <a:ext uri="{FF2B5EF4-FFF2-40B4-BE49-F238E27FC236}">
              <a16:creationId xmlns:a16="http://schemas.microsoft.com/office/drawing/2014/main" id="{C63F2EF9-0B9A-801C-81A9-CB176C62FE6E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0D16D3AF-124A-3032-27F2-3FEFD5ED6A62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0F109FAD-0586-7002-77D3-18D2C224E277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9" name="Rechteck 558">
          <a:extLst>
            <a:ext uri="{FF2B5EF4-FFF2-40B4-BE49-F238E27FC236}">
              <a16:creationId xmlns:a16="http://schemas.microsoft.com/office/drawing/2014/main" id="{D7A08BD5-5C17-C5F1-F937-5FA18E96A02A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26ECA37E-EA03-47F6-38B1-23700B14D807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0E3B6D3D-E6CF-0273-728D-0A0B489DA207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32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69BC636C-8F7E-F2F1-16D5-8C49AFAD1116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19,3%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304C4DD2-61CD-0EDF-5A52-0EBC11F3D03D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4BD0595A-D449-4AC8-5B55-9624DBACE7C3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E98C017E-30ED-CDB0-9244-7DE0451606E0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7,2%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7757D685-3502-719A-8B5A-1BC980EA4287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78B0CC9A-D71A-1093-BFE6-71817A3C5036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980F0944-3080-E9FE-F428-6369A207EA4D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128196D6-CF0A-2BF5-B1AF-0D9CEDCF868F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196EDE75-AC57-9FA1-9B90-2D719755A7AA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18118D7F-E2DA-AC8D-1C5F-A52C4CBAC313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6,6%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DD687344-D393-4D8F-CD0C-9508A4FB5C1A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46501A5C-FA52-534D-A1DD-D12E69162E73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2AEEB5D9-7030-9546-8D69-0D9F865E1D70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0,6%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7F9DD084-B79E-595E-31F2-40BEEA292113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5A50526D-3A7C-F60E-61C3-2BC86921CBF3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103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AD24497C-473B-B903-7C56-DEF5004D48FA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62,0%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C3DFF4EC-04D0-3A96-4825-1BB153C52BDF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577" name="Textfeld 576">
          <a:extLst>
            <a:ext uri="{FF2B5EF4-FFF2-40B4-BE49-F238E27FC236}">
              <a16:creationId xmlns:a16="http://schemas.microsoft.com/office/drawing/2014/main" id="{18F08DE0-2ED6-2530-69F8-5653B77BAB4D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5:S146" totalsRowShown="0">
  <autoFilter ref="A5:S146" xr:uid="{0A7F67A6-78F8-F84A-8AA6-2B299051C032}"/>
  <tableColumns count="19">
    <tableColumn id="1" xr3:uid="{F39B1125-7EF7-E64D-9442-E25983ED7A52}" name="Monat Lead erhalten" dataDxfId="13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2"/>
    <tableColumn id="7" xr3:uid="{E3696A96-2F5B-124F-832E-72A6E1ACB867}" name="Ort" dataDxfId="0">
      <calculatedColumnFormula>WENNFEHLER(SVERWEIS(Kundenliste[[#This Row],[PLZ]];PLZ_Liste;2;0);"")</calculatedColumnFormula>
    </tableColumn>
    <tableColumn id="8" xr3:uid="{5245E043-2603-C146-BECE-B4B1D73540C7}" name="Telefonnummer" dataDxfId="11"/>
    <tableColumn id="9" xr3:uid="{B9060812-064F-614D-B7E2-8C8E14C622A4}" name="PG"/>
    <tableColumn id="10" xr3:uid="{31CDA6EB-66B9-D14C-B933-A078E77F7B6D}" name="Letzter Kontakt" dataDxfId="10"/>
    <tableColumn id="11" xr3:uid="{A6F04678-3C43-9243-97D3-DF4F9C9BD39E}" name="Nächster Kontakt" dataDxfId="9"/>
    <tableColumn id="12" xr3:uid="{326D167F-2621-0B44-87C5-B4CFDDAEA4EA}" name="Notizen" dataDxfId="8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E70" totalsRowShown="0" headerRowDxfId="7" dataDxfId="6" headerRowCellStyle="Standard 5" dataCellStyle="Standard 5">
  <autoFilter ref="A1:E70" xr:uid="{B7CE6C6F-C063-3447-94DD-D9B916A0E6EF}"/>
  <tableColumns count="5">
    <tableColumn id="1" xr3:uid="{9CDBB367-D969-9A47-88B8-8DCA85C625AA}" name="⚠" dataDxfId="5" dataCellStyle="Standard 5"/>
    <tableColumn id="2" xr3:uid="{D6808694-29F1-294E-BC5F-6B4E034AEAC6}" name="Typ" dataDxfId="4" dataCellStyle="Standard 5"/>
    <tableColumn id="3" xr3:uid="{3017C920-4AB7-1647-9DF7-17BA8E17C3BC}" name="Zeitstempel" dataDxfId="3" dataCellStyle="Standard 5"/>
    <tableColumn id="4" xr3:uid="{88B77895-9B8C-7542-841B-7969BCCD3B5F}" name="Meldung" dataDxfId="2" dataCellStyle="Standard 5"/>
    <tableColumn id="5" xr3:uid="{135C4756-218E-C744-ABC4-9501F1E3A00A}" name="Details / Ursache" dataDxfId="1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6"/>
  <sheetViews>
    <sheetView showGridLines="0" tabSelected="1" workbookViewId="0">
      <pane ySplit="5" topLeftCell="A6" activePane="bottomLeft" state="frozen"/>
      <selection pane="bottomLeft" activeCell="G10" sqref="G10"/>
    </sheetView>
  </sheetViews>
  <sheetFormatPr baseColWidth="10" defaultRowHeight="16" x14ac:dyDescent="0.2"/>
  <cols>
    <col min="1" max="1" width="20" customWidth="1"/>
    <col min="2" max="2" width="21" bestFit="1" customWidth="1"/>
    <col min="3" max="3" width="16.6640625" bestFit="1" customWidth="1"/>
    <col min="4" max="4" width="24.5" bestFit="1" customWidth="1"/>
    <col min="5" max="5" width="20.6640625" bestFit="1" customWidth="1"/>
    <col min="6" max="6" width="6.83203125" bestFit="1" customWidth="1"/>
    <col min="7" max="7" width="21" bestFit="1" customWidth="1"/>
    <col min="8" max="8" width="36.5" bestFit="1" customWidth="1"/>
    <col min="10" max="10" width="15.6640625" customWidth="1"/>
    <col min="11" max="11" width="17.5" customWidth="1"/>
    <col min="12" max="12" width="70.1640625" bestFit="1" customWidth="1"/>
    <col min="13" max="13" width="11.5" customWidth="1"/>
    <col min="14" max="14" width="20" bestFit="1" customWidth="1"/>
    <col min="15" max="15" width="86" bestFit="1" customWidth="1"/>
    <col min="16" max="16" width="20" bestFit="1" customWidth="1"/>
    <col min="17" max="17" width="27.33203125" customWidth="1"/>
  </cols>
  <sheetData>
    <row r="2" spans="1:19" x14ac:dyDescent="0.2">
      <c r="B2" s="18">
        <v>46071.393750000003</v>
      </c>
    </row>
    <row r="5" spans="1:19" x14ac:dyDescent="0.2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t="s">
        <v>16</v>
      </c>
      <c r="R5" t="s">
        <v>17</v>
      </c>
      <c r="S5" t="s">
        <v>18</v>
      </c>
    </row>
    <row r="6" spans="1:19" x14ac:dyDescent="0.2">
      <c r="A6" s="1">
        <v>46023</v>
      </c>
      <c r="B6" t="s">
        <v>19</v>
      </c>
      <c r="C6" t="s">
        <v>20</v>
      </c>
      <c r="D6" t="s">
        <v>21</v>
      </c>
      <c r="E6" t="s">
        <v>22</v>
      </c>
      <c r="F6" s="2"/>
      <c r="G6" t="str">
        <f>WENNFEHLER(SVERWEIS(Kundenliste[[#This Row],[PLZ]];PLZ_Liste;2;0);"")</f>
        <v/>
      </c>
      <c r="H6" s="2" t="s">
        <v>24</v>
      </c>
      <c r="I6">
        <v>0</v>
      </c>
      <c r="J6" s="1">
        <v>45665</v>
      </c>
      <c r="K6" s="1"/>
      <c r="L6" s="12"/>
      <c r="M6" t="s">
        <v>25</v>
      </c>
    </row>
    <row r="7" spans="1:19" x14ac:dyDescent="0.2">
      <c r="A7" s="1">
        <v>46024</v>
      </c>
      <c r="B7" t="s">
        <v>19</v>
      </c>
      <c r="C7" t="s">
        <v>26</v>
      </c>
      <c r="D7" t="s">
        <v>27</v>
      </c>
      <c r="F7">
        <v>85567</v>
      </c>
      <c r="G7" t="str">
        <f>WENNFEHLER(SVERWEIS(Kundenliste[[#This Row],[PLZ]];PLZ_Liste;2;0);"")</f>
        <v>Bruck/Oberbayern</v>
      </c>
      <c r="H7">
        <v>1713013328</v>
      </c>
      <c r="I7">
        <v>3</v>
      </c>
      <c r="J7" s="1">
        <v>46024</v>
      </c>
      <c r="K7" s="1"/>
      <c r="L7" s="12"/>
      <c r="M7" t="s">
        <v>28</v>
      </c>
      <c r="N7" t="s">
        <v>29</v>
      </c>
      <c r="O7" t="s">
        <v>30</v>
      </c>
      <c r="Q7" t="s">
        <v>31</v>
      </c>
    </row>
    <row r="8" spans="1:19" x14ac:dyDescent="0.2">
      <c r="A8" s="1">
        <v>46024</v>
      </c>
      <c r="B8" t="s">
        <v>19</v>
      </c>
      <c r="C8" t="s">
        <v>32</v>
      </c>
      <c r="D8" t="s">
        <v>33</v>
      </c>
      <c r="F8" s="2">
        <v>85435</v>
      </c>
      <c r="G8" t="str">
        <f>WENNFEHLER(SVERWEIS(Kundenliste[[#This Row],[PLZ]];PLZ_Liste;2;0);"")</f>
        <v>Erding</v>
      </c>
      <c r="H8">
        <v>1738902545</v>
      </c>
      <c r="I8">
        <v>2</v>
      </c>
      <c r="J8" s="1">
        <v>46031</v>
      </c>
      <c r="K8" s="1"/>
      <c r="L8" s="12"/>
      <c r="M8" t="s">
        <v>28</v>
      </c>
      <c r="N8" t="s">
        <v>34</v>
      </c>
      <c r="O8" t="s">
        <v>35</v>
      </c>
      <c r="Q8" t="s">
        <v>36</v>
      </c>
    </row>
    <row r="9" spans="1:19" x14ac:dyDescent="0.2">
      <c r="A9" s="1">
        <v>46024</v>
      </c>
      <c r="B9" t="s">
        <v>19</v>
      </c>
      <c r="C9" t="s">
        <v>32</v>
      </c>
      <c r="D9" t="s">
        <v>37</v>
      </c>
      <c r="F9" s="2">
        <v>85737</v>
      </c>
      <c r="G9" t="str">
        <f>WENNFEHLER(SVERWEIS(Kundenliste[[#This Row],[PLZ]];PLZ_Liste;2;0);"")</f>
        <v>Hallbergmoos</v>
      </c>
      <c r="H9">
        <v>1622796340</v>
      </c>
      <c r="I9">
        <v>2</v>
      </c>
      <c r="J9" s="1">
        <v>46031</v>
      </c>
      <c r="K9" s="1"/>
      <c r="L9" s="12"/>
      <c r="M9" t="s">
        <v>25</v>
      </c>
    </row>
    <row r="10" spans="1:19" x14ac:dyDescent="0.2">
      <c r="A10" s="1">
        <v>46025</v>
      </c>
      <c r="B10" t="s">
        <v>19</v>
      </c>
      <c r="C10" t="s">
        <v>26</v>
      </c>
      <c r="D10" t="s">
        <v>39</v>
      </c>
      <c r="F10">
        <v>84036</v>
      </c>
      <c r="G10" t="str">
        <f>WENNFEHLER(SVERWEIS(Kundenliste[[#This Row],[PLZ]];PLZ_Liste;2;0);"")</f>
        <v>Landshut</v>
      </c>
      <c r="H10">
        <v>87114246121</v>
      </c>
      <c r="I10">
        <v>2</v>
      </c>
      <c r="J10" s="1">
        <v>46027</v>
      </c>
      <c r="K10" s="1"/>
      <c r="L10" s="12"/>
      <c r="M10" t="s">
        <v>28</v>
      </c>
      <c r="N10" t="s">
        <v>29</v>
      </c>
      <c r="O10" t="s">
        <v>41</v>
      </c>
      <c r="P10" t="s">
        <v>42</v>
      </c>
      <c r="Q10" t="s">
        <v>31</v>
      </c>
      <c r="S10" t="s">
        <v>43</v>
      </c>
    </row>
    <row r="11" spans="1:19" x14ac:dyDescent="0.2">
      <c r="A11" s="1">
        <v>46025</v>
      </c>
      <c r="B11" t="s">
        <v>19</v>
      </c>
      <c r="C11" t="s">
        <v>26</v>
      </c>
      <c r="D11" t="s">
        <v>44</v>
      </c>
      <c r="E11" t="s">
        <v>45</v>
      </c>
      <c r="F11">
        <v>84174</v>
      </c>
      <c r="G11" t="str">
        <f>WENNFEHLER(SVERWEIS(Kundenliste[[#This Row],[PLZ]];PLZ_Liste;2;0);"")</f>
        <v>Eching/Niederbayern</v>
      </c>
      <c r="H11">
        <v>8709412846</v>
      </c>
      <c r="I11">
        <v>2</v>
      </c>
      <c r="J11" s="1">
        <v>46031</v>
      </c>
      <c r="K11" s="1"/>
      <c r="L11" s="12"/>
      <c r="M11" t="s">
        <v>25</v>
      </c>
    </row>
    <row r="12" spans="1:19" x14ac:dyDescent="0.2">
      <c r="A12" s="1">
        <v>46025</v>
      </c>
      <c r="B12" t="s">
        <v>19</v>
      </c>
      <c r="C12" t="s">
        <v>26</v>
      </c>
      <c r="D12" t="s">
        <v>46</v>
      </c>
      <c r="E12" t="s">
        <v>47</v>
      </c>
      <c r="F12">
        <v>81549</v>
      </c>
      <c r="G12" t="str">
        <f>WENNFEHLER(SVERWEIS(Kundenliste[[#This Row],[PLZ]];PLZ_Liste;2;0);"")</f>
        <v>München</v>
      </c>
      <c r="H12">
        <v>1705897847</v>
      </c>
      <c r="I12">
        <v>2</v>
      </c>
      <c r="J12" s="1">
        <v>46027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32</v>
      </c>
      <c r="D13" t="s">
        <v>49</v>
      </c>
      <c r="F13" s="2">
        <v>85447</v>
      </c>
      <c r="G13" t="str">
        <f>WENNFEHLER(SVERWEIS(Kundenliste[[#This Row],[PLZ]];PLZ_Liste;2;0);"")</f>
        <v>Wartenberg/Oberbayern</v>
      </c>
      <c r="H13">
        <v>87626389870</v>
      </c>
      <c r="I13">
        <v>3</v>
      </c>
      <c r="J13" s="1">
        <v>46029</v>
      </c>
      <c r="K13" s="1"/>
      <c r="L13" s="12"/>
      <c r="M13" t="s">
        <v>28</v>
      </c>
      <c r="N13" t="s">
        <v>29</v>
      </c>
      <c r="O13" t="s">
        <v>50</v>
      </c>
      <c r="Q13" t="s">
        <v>31</v>
      </c>
    </row>
    <row r="14" spans="1:19" x14ac:dyDescent="0.2">
      <c r="A14" s="1">
        <v>46026</v>
      </c>
      <c r="B14" t="s">
        <v>19</v>
      </c>
      <c r="C14" t="s">
        <v>26</v>
      </c>
      <c r="D14" t="s">
        <v>51</v>
      </c>
      <c r="F14" s="2">
        <v>85652</v>
      </c>
      <c r="G14" t="str">
        <f>WENNFEHLER(SVERWEIS(Kundenliste[[#This Row],[PLZ]];PLZ_Liste;2;0);"")</f>
        <v>Pliening</v>
      </c>
      <c r="H14">
        <v>17672449903</v>
      </c>
      <c r="I14">
        <v>2</v>
      </c>
      <c r="J14" s="1">
        <v>46027</v>
      </c>
      <c r="K14" s="1"/>
      <c r="L14" s="12"/>
      <c r="M14" t="s">
        <v>28</v>
      </c>
      <c r="N14" t="s">
        <v>29</v>
      </c>
      <c r="O14" t="s">
        <v>53</v>
      </c>
      <c r="Q14" t="s">
        <v>31</v>
      </c>
    </row>
    <row r="15" spans="1:19" ht="17" x14ac:dyDescent="0.2">
      <c r="A15" s="1">
        <v>46026</v>
      </c>
      <c r="B15" t="s">
        <v>19</v>
      </c>
      <c r="C15" t="s">
        <v>26</v>
      </c>
      <c r="D15" t="s">
        <v>54</v>
      </c>
      <c r="F15" s="2">
        <v>85435</v>
      </c>
      <c r="G15" t="str">
        <f>WENNFEHLER(SVERWEIS(Kundenliste[[#This Row],[PLZ]];PLZ_Liste;2;0);"")</f>
        <v>Erding</v>
      </c>
      <c r="H15" s="2" t="s">
        <v>56</v>
      </c>
      <c r="I15">
        <v>1</v>
      </c>
      <c r="J15" s="1">
        <v>46027</v>
      </c>
      <c r="K15" s="1">
        <v>46054</v>
      </c>
      <c r="L15" s="12" t="s">
        <v>57</v>
      </c>
      <c r="M15" t="s">
        <v>28</v>
      </c>
      <c r="O15" t="s">
        <v>58</v>
      </c>
    </row>
    <row r="16" spans="1:19" ht="17" x14ac:dyDescent="0.2">
      <c r="A16" s="1">
        <v>46027</v>
      </c>
      <c r="B16" t="s">
        <v>19</v>
      </c>
      <c r="C16" t="s">
        <v>26</v>
      </c>
      <c r="D16" t="s">
        <v>59</v>
      </c>
      <c r="F16" s="2">
        <v>85521</v>
      </c>
      <c r="G16" t="str">
        <f>WENNFEHLER(SVERWEIS(Kundenliste[[#This Row],[PLZ]];PLZ_Liste;2;0);"")</f>
        <v>Hohenbrunn</v>
      </c>
      <c r="H16">
        <v>80319016436</v>
      </c>
      <c r="I16">
        <v>2</v>
      </c>
      <c r="J16" s="1">
        <v>46051</v>
      </c>
      <c r="K16" s="1"/>
      <c r="L16" s="12" t="s">
        <v>61</v>
      </c>
      <c r="M16" t="s">
        <v>28</v>
      </c>
      <c r="N16" t="s">
        <v>29</v>
      </c>
      <c r="O16" t="s">
        <v>62</v>
      </c>
    </row>
    <row r="17" spans="1:19" x14ac:dyDescent="0.2">
      <c r="A17" s="1">
        <v>46027</v>
      </c>
      <c r="B17" t="s">
        <v>19</v>
      </c>
      <c r="C17" t="s">
        <v>32</v>
      </c>
      <c r="D17" t="s">
        <v>63</v>
      </c>
      <c r="F17" s="2">
        <v>84034</v>
      </c>
      <c r="G17" t="str">
        <f>WENNFEHLER(SVERWEIS(Kundenliste[[#This Row],[PLZ]];PLZ_Liste;2;0);"")</f>
        <v>Landshut</v>
      </c>
      <c r="H17">
        <v>1725488477</v>
      </c>
      <c r="I17">
        <v>0</v>
      </c>
      <c r="J17" s="1">
        <v>46048</v>
      </c>
      <c r="K17" s="1">
        <v>46049</v>
      </c>
      <c r="L17" s="12"/>
      <c r="M17" t="s">
        <v>28</v>
      </c>
      <c r="N17" t="s">
        <v>29</v>
      </c>
      <c r="O17" t="s">
        <v>64</v>
      </c>
    </row>
    <row r="18" spans="1:19" ht="17" x14ac:dyDescent="0.2">
      <c r="A18" s="1">
        <v>46028</v>
      </c>
      <c r="B18" t="s">
        <v>19</v>
      </c>
      <c r="C18" t="s">
        <v>26</v>
      </c>
      <c r="D18" t="s">
        <v>65</v>
      </c>
      <c r="F18" s="2">
        <v>85586</v>
      </c>
      <c r="G18" t="str">
        <f>WENNFEHLER(SVERWEIS(Kundenliste[[#This Row],[PLZ]];PLZ_Liste;2;0);"")</f>
        <v>Poing</v>
      </c>
      <c r="H18">
        <v>812182719</v>
      </c>
      <c r="I18">
        <v>3</v>
      </c>
      <c r="J18" s="1">
        <v>46029</v>
      </c>
      <c r="K18" s="1"/>
      <c r="L18" s="12" t="s">
        <v>67</v>
      </c>
      <c r="M18" t="s">
        <v>28</v>
      </c>
      <c r="N18" t="s">
        <v>29</v>
      </c>
      <c r="O18" t="s">
        <v>68</v>
      </c>
      <c r="Q18" t="s">
        <v>31</v>
      </c>
    </row>
    <row r="19" spans="1:19" x14ac:dyDescent="0.2">
      <c r="A19" s="1">
        <v>46028</v>
      </c>
      <c r="B19" t="s">
        <v>19</v>
      </c>
      <c r="C19" t="s">
        <v>26</v>
      </c>
      <c r="D19" t="s">
        <v>69</v>
      </c>
      <c r="F19" s="2">
        <v>85375</v>
      </c>
      <c r="G19" t="str">
        <f>WENNFEHLER(SVERWEIS(Kundenliste[[#This Row],[PLZ]];PLZ_Liste;2;0);"")</f>
        <v>Neufahrn b. Freising</v>
      </c>
      <c r="H19">
        <v>814192231</v>
      </c>
      <c r="I19">
        <v>1</v>
      </c>
      <c r="J19" s="1">
        <v>46031</v>
      </c>
      <c r="K19" s="1"/>
      <c r="L19" s="12"/>
      <c r="M19" t="s">
        <v>28</v>
      </c>
      <c r="O19" t="s">
        <v>70</v>
      </c>
      <c r="P19" t="s">
        <v>42</v>
      </c>
      <c r="Q19" t="s">
        <v>25</v>
      </c>
    </row>
    <row r="20" spans="1:19" x14ac:dyDescent="0.2">
      <c r="A20" s="1">
        <v>46028</v>
      </c>
      <c r="B20" t="s">
        <v>19</v>
      </c>
      <c r="C20" t="s">
        <v>26</v>
      </c>
      <c r="D20" t="s">
        <v>71</v>
      </c>
      <c r="E20" t="s">
        <v>72</v>
      </c>
      <c r="F20" s="2">
        <v>81669</v>
      </c>
      <c r="G20" t="str">
        <f>WENNFEHLER(SVERWEIS(Kundenliste[[#This Row],[PLZ]];PLZ_Liste;2;0);"")</f>
        <v>München</v>
      </c>
      <c r="H20">
        <v>17673579738</v>
      </c>
      <c r="I20">
        <v>2</v>
      </c>
      <c r="J20" s="1">
        <v>46029</v>
      </c>
      <c r="K20" s="1"/>
      <c r="L20" s="12"/>
      <c r="M20" t="s">
        <v>25</v>
      </c>
    </row>
    <row r="21" spans="1:19" x14ac:dyDescent="0.2">
      <c r="A21" s="1">
        <v>46029</v>
      </c>
      <c r="B21" t="s">
        <v>19</v>
      </c>
      <c r="C21" t="s">
        <v>73</v>
      </c>
      <c r="D21" t="s">
        <v>74</v>
      </c>
      <c r="F21" s="2"/>
      <c r="G21" t="str">
        <f>WENNFEHLER(SVERWEIS(Kundenliste[[#This Row],[PLZ]];PLZ_Liste;2;0);"")</f>
        <v/>
      </c>
      <c r="H21" s="2"/>
      <c r="I21">
        <v>2</v>
      </c>
      <c r="J21" s="1">
        <v>46035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32</v>
      </c>
      <c r="D22" t="s">
        <v>75</v>
      </c>
      <c r="F22" s="2">
        <v>84036</v>
      </c>
      <c r="G22" t="str">
        <f>WENNFEHLER(SVERWEIS(Kundenliste[[#This Row],[PLZ]];PLZ_Liste;2;0);"")</f>
        <v>Landshut</v>
      </c>
      <c r="H22">
        <v>15224905714</v>
      </c>
      <c r="I22">
        <v>2</v>
      </c>
      <c r="J22" s="1">
        <v>46031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26</v>
      </c>
      <c r="D23" t="s">
        <v>76</v>
      </c>
      <c r="F23" s="2">
        <v>82008</v>
      </c>
      <c r="G23" t="str">
        <f>WENNFEHLER(SVERWEIS(Kundenliste[[#This Row],[PLZ]];PLZ_Liste;2;0);"")</f>
        <v>Unterhaching</v>
      </c>
      <c r="H23">
        <v>17687716602</v>
      </c>
      <c r="I23">
        <v>1</v>
      </c>
      <c r="J23" s="1">
        <v>46029</v>
      </c>
      <c r="K23" s="1"/>
      <c r="L23" s="12"/>
      <c r="M23" t="s">
        <v>28</v>
      </c>
      <c r="N23" t="s">
        <v>29</v>
      </c>
      <c r="O23" t="s">
        <v>78</v>
      </c>
      <c r="Q23" t="s">
        <v>31</v>
      </c>
    </row>
    <row r="24" spans="1:19" x14ac:dyDescent="0.2">
      <c r="A24" s="1">
        <v>46029</v>
      </c>
      <c r="B24" t="s">
        <v>19</v>
      </c>
      <c r="C24" t="s">
        <v>26</v>
      </c>
      <c r="D24" t="s">
        <v>79</v>
      </c>
      <c r="F24" s="2">
        <v>85368</v>
      </c>
      <c r="G24" t="str">
        <f>WENNFEHLER(SVERWEIS(Kundenliste[[#This Row],[PLZ]];PLZ_Liste;2;0);"")</f>
        <v>Wang</v>
      </c>
      <c r="H24" s="2" t="s">
        <v>81</v>
      </c>
      <c r="I24">
        <v>3</v>
      </c>
      <c r="J24" s="1">
        <v>46031</v>
      </c>
      <c r="K24" s="1"/>
      <c r="L24" s="12"/>
      <c r="M24" t="s">
        <v>28</v>
      </c>
      <c r="N24" t="s">
        <v>29</v>
      </c>
      <c r="O24" t="s">
        <v>82</v>
      </c>
      <c r="P24" t="s">
        <v>42</v>
      </c>
      <c r="Q24" t="s">
        <v>31</v>
      </c>
    </row>
    <row r="25" spans="1:19" x14ac:dyDescent="0.2">
      <c r="A25" s="1">
        <v>46029</v>
      </c>
      <c r="B25" t="s">
        <v>19</v>
      </c>
      <c r="C25" t="s">
        <v>32</v>
      </c>
      <c r="D25" t="s">
        <v>83</v>
      </c>
      <c r="F25" s="2">
        <v>85368</v>
      </c>
      <c r="G25" t="str">
        <f>WENNFEHLER(SVERWEIS(Kundenliste[[#This Row],[PLZ]];PLZ_Liste;2;0);"")</f>
        <v>Wang</v>
      </c>
      <c r="H25" s="2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84</v>
      </c>
      <c r="Q25" t="s">
        <v>31</v>
      </c>
    </row>
    <row r="26" spans="1:19" ht="17" x14ac:dyDescent="0.2">
      <c r="A26" s="1">
        <v>46029</v>
      </c>
      <c r="B26" t="s">
        <v>19</v>
      </c>
      <c r="C26" t="s">
        <v>32</v>
      </c>
      <c r="D26" t="s">
        <v>85</v>
      </c>
      <c r="F26" s="2">
        <v>85737</v>
      </c>
      <c r="G26" t="str">
        <f>WENNFEHLER(SVERWEIS(Kundenliste[[#This Row],[PLZ]];PLZ_Liste;2;0);"")</f>
        <v>Hallbergmoos</v>
      </c>
      <c r="H26">
        <v>89964551</v>
      </c>
      <c r="I26">
        <v>3</v>
      </c>
      <c r="J26" s="1">
        <v>46031</v>
      </c>
      <c r="K26" s="1"/>
      <c r="L26" s="12" t="s">
        <v>86</v>
      </c>
      <c r="M26" t="s">
        <v>28</v>
      </c>
      <c r="N26" t="s">
        <v>29</v>
      </c>
      <c r="O26" t="s">
        <v>86</v>
      </c>
      <c r="Q26" t="s">
        <v>31</v>
      </c>
    </row>
    <row r="27" spans="1:19" x14ac:dyDescent="0.2">
      <c r="A27" s="1">
        <v>46029</v>
      </c>
      <c r="B27" t="s">
        <v>19</v>
      </c>
      <c r="C27" t="s">
        <v>26</v>
      </c>
      <c r="D27" t="s">
        <v>87</v>
      </c>
      <c r="F27" s="2">
        <v>84030</v>
      </c>
      <c r="G27" t="str">
        <f>WENNFEHLER(SVERWEIS(Kundenliste[[#This Row],[PLZ]];PLZ_Liste;2;0);"")</f>
        <v>Landshut</v>
      </c>
      <c r="H27">
        <v>1794352688</v>
      </c>
      <c r="I27">
        <v>3</v>
      </c>
      <c r="J27" s="1">
        <v>46031</v>
      </c>
      <c r="K27" s="1"/>
      <c r="L27" s="12"/>
      <c r="M27" t="s">
        <v>25</v>
      </c>
    </row>
    <row r="28" spans="1:19" x14ac:dyDescent="0.2">
      <c r="A28" s="1">
        <v>46029</v>
      </c>
      <c r="B28" t="s">
        <v>19</v>
      </c>
      <c r="C28" t="s">
        <v>26</v>
      </c>
      <c r="D28" t="s">
        <v>88</v>
      </c>
      <c r="E28" t="s">
        <v>89</v>
      </c>
      <c r="F28">
        <v>81677</v>
      </c>
      <c r="G28" t="str">
        <f>WENNFEHLER(SVERWEIS(Kundenliste[[#This Row],[PLZ]];PLZ_Liste;2;0);"")</f>
        <v>München</v>
      </c>
      <c r="H28">
        <v>1785303053</v>
      </c>
      <c r="I28">
        <v>2</v>
      </c>
      <c r="J28" s="1">
        <v>46031</v>
      </c>
      <c r="K28" s="1">
        <v>46043</v>
      </c>
      <c r="L28" s="12"/>
      <c r="M28" t="s">
        <v>28</v>
      </c>
      <c r="O28" t="s">
        <v>90</v>
      </c>
      <c r="S28" t="s">
        <v>91</v>
      </c>
    </row>
    <row r="29" spans="1:19" ht="17" x14ac:dyDescent="0.2">
      <c r="A29" s="1">
        <v>46030</v>
      </c>
      <c r="B29" t="s">
        <v>19</v>
      </c>
      <c r="C29" t="s">
        <v>32</v>
      </c>
      <c r="D29" t="s">
        <v>92</v>
      </c>
      <c r="F29" s="2">
        <v>85586</v>
      </c>
      <c r="G29" t="str">
        <f>WENNFEHLER(SVERWEIS(Kundenliste[[#This Row],[PLZ]];PLZ_Liste;2;0);"")</f>
        <v>Poing</v>
      </c>
      <c r="H29">
        <v>812178692</v>
      </c>
      <c r="I29">
        <v>1</v>
      </c>
      <c r="J29" s="1">
        <v>46031</v>
      </c>
      <c r="K29" s="1"/>
      <c r="L29" s="12" t="s">
        <v>93</v>
      </c>
      <c r="M29" t="s">
        <v>28</v>
      </c>
      <c r="N29" t="s">
        <v>29</v>
      </c>
      <c r="O29" t="s">
        <v>94</v>
      </c>
      <c r="Q29" t="s">
        <v>31</v>
      </c>
    </row>
    <row r="30" spans="1:19" x14ac:dyDescent="0.2">
      <c r="A30" s="1">
        <v>46030</v>
      </c>
      <c r="B30" t="s">
        <v>19</v>
      </c>
      <c r="C30" t="s">
        <v>26</v>
      </c>
      <c r="D30" t="s">
        <v>95</v>
      </c>
      <c r="F30" s="2">
        <v>81739</v>
      </c>
      <c r="G30" t="str">
        <f>WENNFEHLER(SVERWEIS(Kundenliste[[#This Row],[PLZ]];PLZ_Liste;2;0);"")</f>
        <v>München</v>
      </c>
      <c r="H30">
        <v>15906782339</v>
      </c>
      <c r="I30">
        <v>3</v>
      </c>
      <c r="J30" s="1">
        <v>46031</v>
      </c>
      <c r="K30" s="1"/>
      <c r="L30" s="12"/>
      <c r="M30" t="s">
        <v>28</v>
      </c>
      <c r="N30" t="s">
        <v>34</v>
      </c>
      <c r="O30" t="s">
        <v>96</v>
      </c>
      <c r="Q30" t="s">
        <v>31</v>
      </c>
    </row>
    <row r="31" spans="1:19" x14ac:dyDescent="0.2">
      <c r="A31" s="1">
        <v>46030</v>
      </c>
      <c r="B31" t="s">
        <v>19</v>
      </c>
      <c r="C31" t="s">
        <v>32</v>
      </c>
      <c r="D31" t="s">
        <v>97</v>
      </c>
      <c r="F31" s="2">
        <v>85598</v>
      </c>
      <c r="G31" t="str">
        <f>WENNFEHLER(SVERWEIS(Kundenliste[[#This Row],[PLZ]];PLZ_Liste;2;0);"")</f>
        <v>Vaterstetten</v>
      </c>
      <c r="H31">
        <v>81068423</v>
      </c>
      <c r="I31">
        <v>1</v>
      </c>
      <c r="J31" s="1">
        <v>46031</v>
      </c>
      <c r="K31" s="1"/>
      <c r="L31" s="12"/>
      <c r="M31" t="s">
        <v>28</v>
      </c>
      <c r="N31" t="s">
        <v>29</v>
      </c>
      <c r="O31" t="s">
        <v>94</v>
      </c>
      <c r="Q31" t="s">
        <v>31</v>
      </c>
    </row>
    <row r="32" spans="1:19" ht="34" x14ac:dyDescent="0.2">
      <c r="A32" s="1">
        <v>46031</v>
      </c>
      <c r="B32" t="s">
        <v>19</v>
      </c>
      <c r="C32" t="s">
        <v>26</v>
      </c>
      <c r="D32" t="s">
        <v>98</v>
      </c>
      <c r="F32" s="2">
        <v>84034</v>
      </c>
      <c r="G32" t="str">
        <f>WENNFEHLER(SVERWEIS(Kundenliste[[#This Row],[PLZ]];PLZ_Liste;2;0);"")</f>
        <v>Landshut</v>
      </c>
      <c r="H32" s="2" t="s">
        <v>99</v>
      </c>
      <c r="I32">
        <v>2</v>
      </c>
      <c r="J32" s="1">
        <v>46055</v>
      </c>
      <c r="K32" s="1"/>
      <c r="L32" s="12" t="s">
        <v>100</v>
      </c>
      <c r="M32" t="s">
        <v>28</v>
      </c>
      <c r="N32" t="s">
        <v>29</v>
      </c>
      <c r="O32" t="s">
        <v>101</v>
      </c>
      <c r="S32" t="s">
        <v>43</v>
      </c>
    </row>
    <row r="33" spans="1:19" x14ac:dyDescent="0.2">
      <c r="A33" s="1">
        <v>46031</v>
      </c>
      <c r="B33" t="s">
        <v>19</v>
      </c>
      <c r="C33" t="s">
        <v>26</v>
      </c>
      <c r="D33" t="s">
        <v>102</v>
      </c>
      <c r="F33" s="2">
        <v>81677</v>
      </c>
      <c r="G33" t="str">
        <f>WENNFEHLER(SVERWEIS(Kundenliste[[#This Row],[PLZ]];PLZ_Liste;2;0);"")</f>
        <v>München</v>
      </c>
      <c r="H33" s="2" t="s">
        <v>103</v>
      </c>
      <c r="I33">
        <v>2</v>
      </c>
      <c r="J33" s="1">
        <v>46031</v>
      </c>
      <c r="K33" s="1"/>
      <c r="L33" s="12"/>
      <c r="M33" t="s">
        <v>28</v>
      </c>
      <c r="N33" t="s">
        <v>34</v>
      </c>
      <c r="O33" t="s">
        <v>104</v>
      </c>
    </row>
    <row r="34" spans="1:19" x14ac:dyDescent="0.2">
      <c r="A34" s="1">
        <v>46034</v>
      </c>
      <c r="B34" t="s">
        <v>34</v>
      </c>
      <c r="C34" t="s">
        <v>26</v>
      </c>
      <c r="D34" t="s">
        <v>105</v>
      </c>
      <c r="F34" s="2">
        <v>85748</v>
      </c>
      <c r="G34" t="str">
        <f>WENNFEHLER(SVERWEIS(Kundenliste[[#This Row],[PLZ]];PLZ_Liste;2;0);"")</f>
        <v>Garching b. München</v>
      </c>
      <c r="H34" s="2" t="s">
        <v>106</v>
      </c>
      <c r="I34">
        <v>2</v>
      </c>
      <c r="J34" s="1">
        <v>46037</v>
      </c>
      <c r="K34" s="1">
        <v>46043</v>
      </c>
      <c r="L34" s="12"/>
      <c r="M34" t="s">
        <v>107</v>
      </c>
    </row>
    <row r="35" spans="1:19" x14ac:dyDescent="0.2">
      <c r="A35" s="1">
        <v>46034</v>
      </c>
      <c r="B35" t="s">
        <v>19</v>
      </c>
      <c r="C35" t="s">
        <v>26</v>
      </c>
      <c r="D35" t="s">
        <v>108</v>
      </c>
      <c r="F35" s="2">
        <v>85354</v>
      </c>
      <c r="G35" t="str">
        <f>WENNFEHLER(SVERWEIS(Kundenliste[[#This Row],[PLZ]];PLZ_Liste;2;0);"")</f>
        <v>Freising</v>
      </c>
      <c r="H35" s="2" t="s">
        <v>110</v>
      </c>
      <c r="I35">
        <v>1</v>
      </c>
      <c r="J35" s="1">
        <v>46037</v>
      </c>
      <c r="K35" s="1" t="s">
        <v>111</v>
      </c>
      <c r="L35" s="12"/>
      <c r="M35" t="s">
        <v>25</v>
      </c>
    </row>
    <row r="36" spans="1:19" x14ac:dyDescent="0.2">
      <c r="A36" s="1">
        <v>46034</v>
      </c>
      <c r="B36" t="s">
        <v>19</v>
      </c>
      <c r="C36" t="s">
        <v>26</v>
      </c>
      <c r="D36" t="s">
        <v>112</v>
      </c>
      <c r="E36" t="s">
        <v>113</v>
      </c>
      <c r="F36" s="2">
        <v>85356</v>
      </c>
      <c r="G36" t="str">
        <f>WENNFEHLER(SVERWEIS(Kundenliste[[#This Row],[PLZ]];PLZ_Liste;2;0);"")</f>
        <v>Freising</v>
      </c>
      <c r="H36" s="2" t="s">
        <v>115</v>
      </c>
      <c r="I36">
        <v>3</v>
      </c>
      <c r="J36" s="1">
        <v>46034</v>
      </c>
      <c r="K36" s="1"/>
      <c r="L36" s="12"/>
      <c r="M36" t="s">
        <v>28</v>
      </c>
      <c r="N36" t="s">
        <v>34</v>
      </c>
      <c r="O36" t="s">
        <v>78</v>
      </c>
      <c r="Q36" t="s">
        <v>31</v>
      </c>
    </row>
    <row r="37" spans="1:19" ht="17" x14ac:dyDescent="0.2">
      <c r="A37" s="1">
        <v>46034</v>
      </c>
      <c r="B37" t="s">
        <v>19</v>
      </c>
      <c r="C37" t="s">
        <v>32</v>
      </c>
      <c r="D37" t="s">
        <v>116</v>
      </c>
      <c r="F37" s="2">
        <v>85774</v>
      </c>
      <c r="G37" t="str">
        <f>WENNFEHLER(SVERWEIS(Kundenliste[[#This Row],[PLZ]];PLZ_Liste;2;0);"")</f>
        <v>Unterföhring</v>
      </c>
      <c r="H37">
        <v>15228363191</v>
      </c>
      <c r="I37">
        <v>1</v>
      </c>
      <c r="J37" s="1">
        <v>46034</v>
      </c>
      <c r="K37" s="1"/>
      <c r="L37" s="12" t="s">
        <v>118</v>
      </c>
      <c r="M37" t="s">
        <v>25</v>
      </c>
    </row>
    <row r="38" spans="1:19" x14ac:dyDescent="0.2">
      <c r="A38" s="1">
        <v>46034</v>
      </c>
      <c r="B38" t="s">
        <v>19</v>
      </c>
      <c r="C38" t="s">
        <v>26</v>
      </c>
      <c r="D38" t="s">
        <v>119</v>
      </c>
      <c r="F38" s="2">
        <v>84030</v>
      </c>
      <c r="G38" t="str">
        <f>WENNFEHLER(SVERWEIS(Kundenliste[[#This Row],[PLZ]];PLZ_Liste;2;0);"")</f>
        <v>Landshut</v>
      </c>
      <c r="H38" s="2" t="s">
        <v>121</v>
      </c>
      <c r="I38">
        <v>2</v>
      </c>
      <c r="J38" s="1"/>
      <c r="K38" s="1"/>
      <c r="L38" s="12"/>
      <c r="M38" t="s">
        <v>28</v>
      </c>
      <c r="N38" t="s">
        <v>29</v>
      </c>
      <c r="O38" t="s">
        <v>64</v>
      </c>
      <c r="Q38" t="s">
        <v>31</v>
      </c>
      <c r="S38" t="s">
        <v>43</v>
      </c>
    </row>
    <row r="39" spans="1:19" ht="17" x14ac:dyDescent="0.2">
      <c r="A39" s="1">
        <v>46035</v>
      </c>
      <c r="B39" t="s">
        <v>19</v>
      </c>
      <c r="C39" t="s">
        <v>26</v>
      </c>
      <c r="D39" t="s">
        <v>122</v>
      </c>
      <c r="F39" s="2">
        <v>85521</v>
      </c>
      <c r="G39" t="str">
        <f>WENNFEHLER(SVERWEIS(Kundenliste[[#This Row],[PLZ]];PLZ_Liste;2;0);"")</f>
        <v>Hohenbrunn</v>
      </c>
      <c r="H39" s="2" t="s">
        <v>123</v>
      </c>
      <c r="I39">
        <v>3</v>
      </c>
      <c r="J39" s="1">
        <v>46037</v>
      </c>
      <c r="K39" s="1"/>
      <c r="L39" s="12" t="s">
        <v>124</v>
      </c>
      <c r="M39" t="s">
        <v>28</v>
      </c>
      <c r="N39" t="s">
        <v>29</v>
      </c>
      <c r="O39" t="s">
        <v>125</v>
      </c>
    </row>
    <row r="40" spans="1:19" x14ac:dyDescent="0.2">
      <c r="A40" s="1">
        <v>46035</v>
      </c>
      <c r="B40" t="s">
        <v>19</v>
      </c>
      <c r="C40" t="s">
        <v>26</v>
      </c>
      <c r="D40" t="s">
        <v>126</v>
      </c>
      <c r="F40" s="2">
        <v>85652</v>
      </c>
      <c r="G40" t="str">
        <f>WENNFEHLER(SVERWEIS(Kundenliste[[#This Row],[PLZ]];PLZ_Liste;2;0);"")</f>
        <v>Pliening</v>
      </c>
      <c r="H40" s="2" t="s">
        <v>127</v>
      </c>
      <c r="I40">
        <v>3</v>
      </c>
      <c r="J40" s="1">
        <v>46037</v>
      </c>
      <c r="K40" s="1"/>
      <c r="L40" s="12"/>
      <c r="M40" t="s">
        <v>28</v>
      </c>
      <c r="N40" t="s">
        <v>29</v>
      </c>
      <c r="O40" t="s">
        <v>64</v>
      </c>
      <c r="Q40" t="s">
        <v>31</v>
      </c>
    </row>
    <row r="41" spans="1:19" x14ac:dyDescent="0.2">
      <c r="A41" s="1">
        <v>46036</v>
      </c>
      <c r="B41" t="s">
        <v>34</v>
      </c>
      <c r="C41" t="s">
        <v>26</v>
      </c>
      <c r="D41" t="s">
        <v>128</v>
      </c>
      <c r="F41" s="2">
        <v>81827</v>
      </c>
      <c r="G41" t="str">
        <f>WENNFEHLER(SVERWEIS(Kundenliste[[#This Row],[PLZ]];PLZ_Liste;2;0);"")</f>
        <v>München</v>
      </c>
      <c r="H41" s="2" t="s">
        <v>129</v>
      </c>
      <c r="I41">
        <v>1</v>
      </c>
      <c r="J41" s="1">
        <v>46050</v>
      </c>
      <c r="K41" s="1"/>
      <c r="L41" s="12"/>
      <c r="M41" t="s">
        <v>107</v>
      </c>
    </row>
    <row r="42" spans="1:19" ht="17" x14ac:dyDescent="0.2">
      <c r="A42" s="1">
        <v>46036</v>
      </c>
      <c r="B42" t="s">
        <v>19</v>
      </c>
      <c r="C42" t="s">
        <v>26</v>
      </c>
      <c r="D42" t="s">
        <v>130</v>
      </c>
      <c r="F42" s="2">
        <v>85560</v>
      </c>
      <c r="G42" t="str">
        <f>WENNFEHLER(SVERWEIS(Kundenliste[[#This Row],[PLZ]];PLZ_Liste;2;0);"")</f>
        <v>Ebersberg</v>
      </c>
      <c r="H42" s="2" t="s">
        <v>132</v>
      </c>
      <c r="I42">
        <v>4</v>
      </c>
      <c r="J42" s="1">
        <v>46041</v>
      </c>
      <c r="K42" s="1"/>
      <c r="L42" s="12" t="s">
        <v>133</v>
      </c>
      <c r="M42" t="s">
        <v>28</v>
      </c>
      <c r="N42" t="s">
        <v>29</v>
      </c>
      <c r="O42" t="s">
        <v>134</v>
      </c>
      <c r="Q42" t="s">
        <v>31</v>
      </c>
    </row>
    <row r="43" spans="1:19" x14ac:dyDescent="0.2">
      <c r="A43" s="1">
        <v>46036</v>
      </c>
      <c r="B43" t="s">
        <v>19</v>
      </c>
      <c r="C43" t="s">
        <v>26</v>
      </c>
      <c r="D43" t="s">
        <v>135</v>
      </c>
      <c r="F43" s="2">
        <v>81827</v>
      </c>
      <c r="G43" t="str">
        <f>WENNFEHLER(SVERWEIS(Kundenliste[[#This Row],[PLZ]];PLZ_Liste;2;0);"")</f>
        <v>München</v>
      </c>
      <c r="H43" s="2" t="s">
        <v>136</v>
      </c>
      <c r="I43">
        <v>3</v>
      </c>
      <c r="J43" s="1">
        <v>46037</v>
      </c>
      <c r="K43" s="1">
        <v>46041</v>
      </c>
      <c r="L43" s="12"/>
      <c r="M43" t="s">
        <v>28</v>
      </c>
      <c r="N43" t="s">
        <v>137</v>
      </c>
      <c r="O43" t="s">
        <v>70</v>
      </c>
      <c r="P43" t="s">
        <v>138</v>
      </c>
      <c r="Q43" t="s">
        <v>36</v>
      </c>
      <c r="S43" t="s">
        <v>43</v>
      </c>
    </row>
    <row r="44" spans="1:19" x14ac:dyDescent="0.2">
      <c r="A44" s="1">
        <v>46037</v>
      </c>
      <c r="B44" t="s">
        <v>19</v>
      </c>
      <c r="C44" t="s">
        <v>32</v>
      </c>
      <c r="D44" t="s">
        <v>139</v>
      </c>
      <c r="F44" s="2">
        <v>84036</v>
      </c>
      <c r="G44" t="str">
        <f>WENNFEHLER(SVERWEIS(Kundenliste[[#This Row],[PLZ]];PLZ_Liste;2;0);"")</f>
        <v>Landshut</v>
      </c>
      <c r="H44">
        <v>4987141714</v>
      </c>
      <c r="I44">
        <v>3</v>
      </c>
      <c r="J44" s="1"/>
      <c r="K44" s="1"/>
      <c r="L44" s="12"/>
      <c r="M44" t="s">
        <v>28</v>
      </c>
      <c r="N44" t="s">
        <v>29</v>
      </c>
      <c r="O44" t="s">
        <v>64</v>
      </c>
      <c r="Q44" t="s">
        <v>36</v>
      </c>
    </row>
    <row r="45" spans="1:19" ht="17" x14ac:dyDescent="0.2">
      <c r="A45" s="1">
        <v>46037</v>
      </c>
      <c r="B45" t="s">
        <v>19</v>
      </c>
      <c r="C45" t="s">
        <v>32</v>
      </c>
      <c r="D45" t="s">
        <v>140</v>
      </c>
      <c r="F45" s="2">
        <v>84416</v>
      </c>
      <c r="G45" t="str">
        <f>WENNFEHLER(SVERWEIS(Kundenliste[[#This Row],[PLZ]];PLZ_Liste;2;0);"")</f>
        <v>Taufkirchen/Vils</v>
      </c>
      <c r="H45" s="2" t="s">
        <v>141</v>
      </c>
      <c r="I45">
        <v>4</v>
      </c>
      <c r="J45" s="1"/>
      <c r="K45" s="1"/>
      <c r="L45" s="12" t="s">
        <v>142</v>
      </c>
      <c r="M45" t="s">
        <v>28</v>
      </c>
      <c r="O45" t="s">
        <v>142</v>
      </c>
      <c r="Q45" t="s">
        <v>31</v>
      </c>
      <c r="S45" t="s">
        <v>91</v>
      </c>
    </row>
    <row r="46" spans="1:19" ht="17" x14ac:dyDescent="0.2">
      <c r="A46" s="1">
        <v>46037</v>
      </c>
      <c r="B46" t="s">
        <v>19</v>
      </c>
      <c r="C46" t="s">
        <v>26</v>
      </c>
      <c r="D46" t="s">
        <v>143</v>
      </c>
      <c r="F46" s="2">
        <v>84416</v>
      </c>
      <c r="G46" t="str">
        <f>WENNFEHLER(SVERWEIS(Kundenliste[[#This Row],[PLZ]];PLZ_Liste;2;0);"")</f>
        <v>Taufkirchen/Vils</v>
      </c>
      <c r="H46" s="2" t="s">
        <v>144</v>
      </c>
      <c r="I46">
        <v>4</v>
      </c>
      <c r="J46" s="1">
        <v>46037</v>
      </c>
      <c r="K46" s="1">
        <v>46043</v>
      </c>
      <c r="L46" s="12" t="s">
        <v>145</v>
      </c>
      <c r="M46" t="s">
        <v>28</v>
      </c>
      <c r="N46" t="s">
        <v>137</v>
      </c>
      <c r="O46" t="s">
        <v>146</v>
      </c>
      <c r="Q46" t="s">
        <v>31</v>
      </c>
      <c r="S46" t="s">
        <v>43</v>
      </c>
    </row>
    <row r="47" spans="1:19" x14ac:dyDescent="0.2">
      <c r="A47" s="1">
        <v>46037</v>
      </c>
      <c r="B47" t="s">
        <v>19</v>
      </c>
      <c r="C47" t="s">
        <v>32</v>
      </c>
      <c r="D47" t="s">
        <v>147</v>
      </c>
      <c r="F47" s="2">
        <v>85356</v>
      </c>
      <c r="G47" t="str">
        <f>WENNFEHLER(SVERWEIS(Kundenliste[[#This Row],[PLZ]];PLZ_Liste;2;0);"")</f>
        <v>Freising</v>
      </c>
      <c r="H47">
        <v>491711701722</v>
      </c>
      <c r="I47">
        <v>3</v>
      </c>
      <c r="J47" s="1">
        <v>46037</v>
      </c>
      <c r="K47" s="1">
        <v>46038</v>
      </c>
      <c r="L47" s="12"/>
      <c r="M47" t="s">
        <v>25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148</v>
      </c>
      <c r="F48" s="2">
        <v>84172</v>
      </c>
      <c r="G48" t="str">
        <f>WENNFEHLER(SVERWEIS(Kundenliste[[#This Row],[PLZ]];PLZ_Liste;2;0);"")</f>
        <v>Buch a. Erlbach</v>
      </c>
      <c r="H48" s="2" t="s">
        <v>149</v>
      </c>
      <c r="I48">
        <v>4</v>
      </c>
      <c r="J48" s="1">
        <v>46048</v>
      </c>
      <c r="K48" s="1"/>
      <c r="L48" s="12"/>
      <c r="M48" t="s">
        <v>25</v>
      </c>
      <c r="S48" t="s">
        <v>43</v>
      </c>
    </row>
    <row r="49" spans="1:19" x14ac:dyDescent="0.2">
      <c r="A49" s="1">
        <v>46038</v>
      </c>
      <c r="B49" t="s">
        <v>19</v>
      </c>
      <c r="C49" t="s">
        <v>32</v>
      </c>
      <c r="D49" t="s">
        <v>150</v>
      </c>
      <c r="F49" s="2">
        <v>85567</v>
      </c>
      <c r="G49" t="str">
        <f>WENNFEHLER(SVERWEIS(Kundenliste[[#This Row],[PLZ]];PLZ_Liste;2;0);"")</f>
        <v>Bruck/Oberbayern</v>
      </c>
      <c r="H49">
        <v>1733739915</v>
      </c>
      <c r="I49">
        <v>3</v>
      </c>
      <c r="J49" s="1">
        <v>46048</v>
      </c>
      <c r="K49" s="1">
        <v>46049</v>
      </c>
      <c r="L49" s="12"/>
      <c r="M49" t="s">
        <v>28</v>
      </c>
      <c r="N49" t="s">
        <v>29</v>
      </c>
      <c r="O49" t="s">
        <v>64</v>
      </c>
      <c r="S49" t="s">
        <v>43</v>
      </c>
    </row>
    <row r="50" spans="1:19" ht="17" x14ac:dyDescent="0.2">
      <c r="A50" s="1">
        <v>46038</v>
      </c>
      <c r="B50" t="s">
        <v>19</v>
      </c>
      <c r="C50" t="s">
        <v>32</v>
      </c>
      <c r="D50" t="s">
        <v>151</v>
      </c>
      <c r="F50" s="2">
        <v>84036</v>
      </c>
      <c r="G50" t="str">
        <f>WENNFEHLER(SVERWEIS(Kundenliste[[#This Row],[PLZ]];PLZ_Liste;2;0);"")</f>
        <v>Landshut</v>
      </c>
      <c r="H50">
        <v>17649914664</v>
      </c>
      <c r="I50">
        <v>3</v>
      </c>
      <c r="J50" s="1">
        <v>46041</v>
      </c>
      <c r="K50" s="1"/>
      <c r="L50" s="12" t="s">
        <v>152</v>
      </c>
      <c r="M50" t="s">
        <v>153</v>
      </c>
      <c r="N50" t="s">
        <v>29</v>
      </c>
      <c r="O50" t="s">
        <v>152</v>
      </c>
      <c r="P50" t="s">
        <v>154</v>
      </c>
      <c r="Q50" t="s">
        <v>36</v>
      </c>
    </row>
    <row r="51" spans="1:19" ht="17" x14ac:dyDescent="0.2">
      <c r="A51" s="1">
        <v>46039</v>
      </c>
      <c r="B51" t="s">
        <v>19</v>
      </c>
      <c r="C51" t="s">
        <v>26</v>
      </c>
      <c r="D51" t="s">
        <v>155</v>
      </c>
      <c r="F51" s="2">
        <v>85560</v>
      </c>
      <c r="G51" t="str">
        <f>WENNFEHLER(SVERWEIS(Kundenliste[[#This Row],[PLZ]];PLZ_Liste;2;0);"")</f>
        <v>Ebersberg</v>
      </c>
      <c r="H51">
        <v>1751847484</v>
      </c>
      <c r="I51">
        <v>3</v>
      </c>
      <c r="J51" s="1">
        <v>46048</v>
      </c>
      <c r="K51" s="1"/>
      <c r="L51" s="12" t="s">
        <v>156</v>
      </c>
      <c r="M51" t="s">
        <v>28</v>
      </c>
      <c r="N51" t="s">
        <v>29</v>
      </c>
      <c r="O51" t="s">
        <v>64</v>
      </c>
    </row>
    <row r="52" spans="1:19" x14ac:dyDescent="0.2">
      <c r="A52" s="1">
        <v>46041</v>
      </c>
      <c r="B52" t="s">
        <v>19</v>
      </c>
      <c r="C52" t="s">
        <v>26</v>
      </c>
      <c r="D52" t="s">
        <v>157</v>
      </c>
      <c r="F52" s="2">
        <v>85625</v>
      </c>
      <c r="G52" t="str">
        <f>WENNFEHLER(SVERWEIS(Kundenliste[[#This Row],[PLZ]];PLZ_Liste;2;0);"")</f>
        <v>Baiern</v>
      </c>
      <c r="H52">
        <v>80934243</v>
      </c>
      <c r="I52">
        <v>2</v>
      </c>
      <c r="J52" s="1">
        <v>46042</v>
      </c>
      <c r="K52" s="1"/>
      <c r="L52" s="12"/>
      <c r="M52" t="s">
        <v>28</v>
      </c>
      <c r="N52" t="s">
        <v>34</v>
      </c>
      <c r="O52" t="s">
        <v>158</v>
      </c>
      <c r="Q52" t="s">
        <v>31</v>
      </c>
      <c r="S52" t="s">
        <v>159</v>
      </c>
    </row>
    <row r="53" spans="1:19" x14ac:dyDescent="0.2">
      <c r="A53" s="1">
        <v>46042</v>
      </c>
      <c r="B53" t="s">
        <v>19</v>
      </c>
      <c r="C53" t="s">
        <v>26</v>
      </c>
      <c r="D53" t="s">
        <v>160</v>
      </c>
      <c r="F53" s="2">
        <v>85395</v>
      </c>
      <c r="G53" t="str">
        <f>WENNFEHLER(SVERWEIS(Kundenliste[[#This Row],[PLZ]];PLZ_Liste;2;0);"")</f>
        <v>Nandlstadt</v>
      </c>
      <c r="H53">
        <v>1753668712</v>
      </c>
      <c r="I53">
        <v>3</v>
      </c>
      <c r="J53" s="1">
        <v>46048</v>
      </c>
      <c r="K53" s="1"/>
      <c r="L53" s="12"/>
      <c r="M53" t="s">
        <v>28</v>
      </c>
      <c r="N53" t="s">
        <v>29</v>
      </c>
      <c r="O53" t="s">
        <v>162</v>
      </c>
      <c r="Q53" t="s">
        <v>36</v>
      </c>
      <c r="S53" t="s">
        <v>91</v>
      </c>
    </row>
    <row r="54" spans="1:19" x14ac:dyDescent="0.2">
      <c r="A54" s="1">
        <v>46042</v>
      </c>
      <c r="B54" t="s">
        <v>19</v>
      </c>
      <c r="C54" t="s">
        <v>26</v>
      </c>
      <c r="D54" t="s">
        <v>163</v>
      </c>
      <c r="F54" s="2">
        <v>85395</v>
      </c>
      <c r="G54" t="str">
        <f>WENNFEHLER(SVERWEIS(Kundenliste[[#This Row],[PLZ]];PLZ_Liste;2;0);"")</f>
        <v>Nandlstadt</v>
      </c>
      <c r="H54" s="2" t="s">
        <v>164</v>
      </c>
      <c r="I54">
        <v>3</v>
      </c>
      <c r="J54" s="1">
        <v>46042</v>
      </c>
      <c r="K54" s="1"/>
      <c r="L54" s="12"/>
      <c r="M54" t="s">
        <v>153</v>
      </c>
      <c r="N54" t="s">
        <v>34</v>
      </c>
      <c r="O54" t="s">
        <v>165</v>
      </c>
    </row>
    <row r="55" spans="1:19" ht="17" x14ac:dyDescent="0.2">
      <c r="A55" s="1">
        <v>46042</v>
      </c>
      <c r="B55" t="s">
        <v>19</v>
      </c>
      <c r="C55" t="s">
        <v>26</v>
      </c>
      <c r="D55" t="s">
        <v>166</v>
      </c>
      <c r="F55" s="2">
        <v>84405</v>
      </c>
      <c r="G55" t="str">
        <f>WENNFEHLER(SVERWEIS(Kundenliste[[#This Row],[PLZ]];PLZ_Liste;2;0);"")</f>
        <v>Dorfen</v>
      </c>
      <c r="H55">
        <v>15206372532</v>
      </c>
      <c r="I55">
        <v>2</v>
      </c>
      <c r="J55" s="1">
        <v>46055</v>
      </c>
      <c r="K55" s="1"/>
      <c r="L55" s="12" t="s">
        <v>168</v>
      </c>
      <c r="M55" t="s">
        <v>28</v>
      </c>
      <c r="N55" t="s">
        <v>169</v>
      </c>
      <c r="O55" t="s">
        <v>170</v>
      </c>
    </row>
    <row r="56" spans="1:19" x14ac:dyDescent="0.2">
      <c r="A56" s="1">
        <v>46042</v>
      </c>
      <c r="B56" t="s">
        <v>19</v>
      </c>
      <c r="C56" t="s">
        <v>32</v>
      </c>
      <c r="D56" t="s">
        <v>166</v>
      </c>
      <c r="F56" s="2">
        <v>84405</v>
      </c>
      <c r="G56" t="str">
        <f>WENNFEHLER(SVERWEIS(Kundenliste[[#This Row],[PLZ]];PLZ_Liste;2;0);"")</f>
        <v>Dorfen</v>
      </c>
      <c r="H56">
        <v>15206372532</v>
      </c>
      <c r="I56">
        <v>2</v>
      </c>
      <c r="J56" s="1">
        <v>46042</v>
      </c>
      <c r="K56" s="1"/>
      <c r="L56" s="12"/>
      <c r="M56" t="s">
        <v>153</v>
      </c>
      <c r="O56" t="s">
        <v>171</v>
      </c>
      <c r="Q56" t="s">
        <v>31</v>
      </c>
    </row>
    <row r="57" spans="1:19" x14ac:dyDescent="0.2">
      <c r="A57" s="1">
        <v>46043</v>
      </c>
      <c r="B57" t="s">
        <v>19</v>
      </c>
      <c r="C57" t="s">
        <v>26</v>
      </c>
      <c r="D57" t="s">
        <v>172</v>
      </c>
      <c r="F57" s="2">
        <v>85354</v>
      </c>
      <c r="G57" t="str">
        <f>WENNFEHLER(SVERWEIS(Kundenliste[[#This Row],[PLZ]];PLZ_Liste;2;0);"")</f>
        <v>Freising</v>
      </c>
      <c r="H57">
        <v>1752796040</v>
      </c>
      <c r="I57">
        <v>2</v>
      </c>
      <c r="J57" s="1">
        <v>46048</v>
      </c>
      <c r="K57" s="1"/>
      <c r="L57" s="12"/>
      <c r="M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173</v>
      </c>
      <c r="F58" s="2">
        <v>85368</v>
      </c>
      <c r="G58" t="str">
        <f>WENNFEHLER(SVERWEIS(Kundenliste[[#This Row],[PLZ]];PLZ_Liste;2;0);"")</f>
        <v>Wang</v>
      </c>
      <c r="H58" s="2" t="s">
        <v>174</v>
      </c>
      <c r="I58">
        <v>2</v>
      </c>
      <c r="J58" s="1">
        <v>46048</v>
      </c>
      <c r="K58" s="1"/>
      <c r="L58" s="12"/>
      <c r="M58" t="s">
        <v>28</v>
      </c>
      <c r="N58" t="s">
        <v>29</v>
      </c>
      <c r="O58" t="s">
        <v>64</v>
      </c>
      <c r="Q58" t="s">
        <v>36</v>
      </c>
      <c r="S58" t="s">
        <v>43</v>
      </c>
    </row>
    <row r="59" spans="1:19" x14ac:dyDescent="0.2">
      <c r="A59" s="1">
        <v>46043</v>
      </c>
      <c r="B59" t="s">
        <v>19</v>
      </c>
      <c r="C59" t="s">
        <v>32</v>
      </c>
      <c r="D59" t="s">
        <v>175</v>
      </c>
      <c r="F59" s="2">
        <v>85667</v>
      </c>
      <c r="G59" t="str">
        <f>WENNFEHLER(SVERWEIS(Kundenliste[[#This Row],[PLZ]];PLZ_Liste;2;0);"")</f>
        <v>Oberpframmern</v>
      </c>
      <c r="H59">
        <v>1709022505</v>
      </c>
      <c r="I59">
        <v>2</v>
      </c>
      <c r="J59" s="1">
        <v>46048</v>
      </c>
      <c r="K59" s="1"/>
      <c r="L59" s="12"/>
      <c r="M59" t="s">
        <v>25</v>
      </c>
      <c r="S59" t="s">
        <v>91</v>
      </c>
    </row>
    <row r="60" spans="1:19" ht="17" x14ac:dyDescent="0.2">
      <c r="A60" s="1">
        <v>46043</v>
      </c>
      <c r="B60" t="s">
        <v>19</v>
      </c>
      <c r="C60" t="s">
        <v>32</v>
      </c>
      <c r="D60" t="s">
        <v>176</v>
      </c>
      <c r="F60" s="2">
        <v>85375</v>
      </c>
      <c r="G60" t="str">
        <f>WENNFEHLER(SVERWEIS(Kundenliste[[#This Row],[PLZ]];PLZ_Liste;2;0);"")</f>
        <v>Neufahrn b. Freising</v>
      </c>
      <c r="H60">
        <v>81655378</v>
      </c>
      <c r="I60">
        <v>0</v>
      </c>
      <c r="J60" s="1"/>
      <c r="K60" s="1"/>
      <c r="L60" s="12" t="s">
        <v>177</v>
      </c>
      <c r="M60" t="s">
        <v>28</v>
      </c>
      <c r="N60" t="s">
        <v>29</v>
      </c>
      <c r="O60" t="s">
        <v>177</v>
      </c>
      <c r="Q60" t="s">
        <v>25</v>
      </c>
      <c r="S60" t="s">
        <v>91</v>
      </c>
    </row>
    <row r="61" spans="1:19" ht="17" x14ac:dyDescent="0.2">
      <c r="A61" s="1">
        <v>46044</v>
      </c>
      <c r="B61" t="s">
        <v>19</v>
      </c>
      <c r="C61" t="s">
        <v>26</v>
      </c>
      <c r="D61" t="s">
        <v>178</v>
      </c>
      <c r="F61" s="2"/>
      <c r="G61" t="str">
        <f>WENNFEHLER(SVERWEIS(Kundenliste[[#This Row],[PLZ]];PLZ_Liste;2;0);"")</f>
        <v/>
      </c>
      <c r="H61" s="2" t="s">
        <v>179</v>
      </c>
      <c r="I61">
        <v>1</v>
      </c>
      <c r="J61" s="1">
        <v>46058</v>
      </c>
      <c r="K61" s="1">
        <v>46059</v>
      </c>
      <c r="L61" s="12" t="s">
        <v>180</v>
      </c>
      <c r="M61" t="s">
        <v>25</v>
      </c>
    </row>
    <row r="62" spans="1:19" x14ac:dyDescent="0.2">
      <c r="A62" s="1">
        <v>46044</v>
      </c>
      <c r="B62" t="s">
        <v>19</v>
      </c>
      <c r="C62" t="s">
        <v>26</v>
      </c>
      <c r="D62" t="s">
        <v>181</v>
      </c>
      <c r="F62" s="2">
        <v>80636</v>
      </c>
      <c r="G62" t="str">
        <f>WENNFEHLER(SVERWEIS(Kundenliste[[#This Row],[PLZ]];PLZ_Liste;2;0);"")</f>
        <v>München</v>
      </c>
      <c r="H62">
        <v>1632904531</v>
      </c>
      <c r="I62">
        <v>1</v>
      </c>
      <c r="J62" s="1">
        <v>46062</v>
      </c>
      <c r="K62" s="1">
        <v>46063</v>
      </c>
      <c r="L62" s="12"/>
      <c r="M62" t="s">
        <v>153</v>
      </c>
      <c r="N62" t="s">
        <v>137</v>
      </c>
      <c r="O62" t="s">
        <v>165</v>
      </c>
    </row>
    <row r="63" spans="1:19" x14ac:dyDescent="0.2">
      <c r="A63" s="1">
        <v>46044</v>
      </c>
      <c r="B63" t="s">
        <v>19</v>
      </c>
      <c r="C63" t="s">
        <v>26</v>
      </c>
      <c r="D63" t="s">
        <v>182</v>
      </c>
      <c r="F63" s="2">
        <v>84144</v>
      </c>
      <c r="G63" t="str">
        <f>WENNFEHLER(SVERWEIS(Kundenliste[[#This Row],[PLZ]];PLZ_Liste;2;0);"")</f>
        <v>Geisenhausen</v>
      </c>
      <c r="H63">
        <v>15159438980</v>
      </c>
      <c r="I63">
        <v>3</v>
      </c>
      <c r="J63" s="1">
        <v>46048</v>
      </c>
      <c r="K63" s="1"/>
      <c r="L63" s="12"/>
      <c r="M63" t="s">
        <v>28</v>
      </c>
      <c r="N63" t="s">
        <v>29</v>
      </c>
      <c r="O63" t="s">
        <v>64</v>
      </c>
    </row>
    <row r="64" spans="1:19" ht="17" x14ac:dyDescent="0.2">
      <c r="A64" s="1">
        <v>46044</v>
      </c>
      <c r="B64" t="s">
        <v>19</v>
      </c>
      <c r="C64" t="s">
        <v>26</v>
      </c>
      <c r="D64" t="s">
        <v>184</v>
      </c>
      <c r="F64" s="2">
        <v>83135</v>
      </c>
      <c r="G64" t="str">
        <f>WENNFEHLER(SVERWEIS(Kundenliste[[#This Row],[PLZ]];PLZ_Liste;2;0);"")</f>
        <v>Schechen</v>
      </c>
      <c r="H64">
        <v>803181853</v>
      </c>
      <c r="I64">
        <v>2</v>
      </c>
      <c r="J64" s="1">
        <v>46044</v>
      </c>
      <c r="K64" s="1"/>
      <c r="L64" s="12" t="s">
        <v>186</v>
      </c>
      <c r="M64" t="s">
        <v>28</v>
      </c>
      <c r="N64" t="s">
        <v>29</v>
      </c>
      <c r="O64" t="s">
        <v>186</v>
      </c>
      <c r="Q64" t="s">
        <v>25</v>
      </c>
    </row>
    <row r="65" spans="1:17" x14ac:dyDescent="0.2">
      <c r="A65" s="1">
        <v>46044</v>
      </c>
      <c r="B65" t="s">
        <v>19</v>
      </c>
      <c r="C65" t="s">
        <v>26</v>
      </c>
      <c r="D65" t="s">
        <v>187</v>
      </c>
      <c r="F65" s="2">
        <v>85413</v>
      </c>
      <c r="G65" t="str">
        <f>WENNFEHLER(SVERWEIS(Kundenliste[[#This Row],[PLZ]];PLZ_Liste;2;0);"")</f>
        <v>Hörgertshausen</v>
      </c>
      <c r="H65" s="2" t="s">
        <v>189</v>
      </c>
      <c r="I65">
        <v>2</v>
      </c>
      <c r="J65" s="1">
        <v>46044</v>
      </c>
      <c r="K65" s="1"/>
      <c r="L65" s="12"/>
      <c r="M65" t="s">
        <v>28</v>
      </c>
      <c r="O65" t="s">
        <v>190</v>
      </c>
      <c r="Q65" t="s">
        <v>25</v>
      </c>
    </row>
    <row r="66" spans="1:17" ht="17" x14ac:dyDescent="0.2">
      <c r="A66" s="1">
        <v>46044</v>
      </c>
      <c r="B66" t="s">
        <v>19</v>
      </c>
      <c r="C66" t="s">
        <v>26</v>
      </c>
      <c r="D66" t="s">
        <v>191</v>
      </c>
      <c r="F66" s="2"/>
      <c r="G66" t="str">
        <f>WENNFEHLER(SVERWEIS(Kundenliste[[#This Row],[PLZ]];PLZ_Liste;2;0);"")</f>
        <v/>
      </c>
      <c r="H66" s="2" t="s">
        <v>192</v>
      </c>
      <c r="I66">
        <v>0</v>
      </c>
      <c r="J66" s="1">
        <v>46051</v>
      </c>
      <c r="K66" s="1">
        <v>46052</v>
      </c>
      <c r="L66" s="12" t="s">
        <v>193</v>
      </c>
      <c r="M66" t="s">
        <v>28</v>
      </c>
      <c r="N66" t="s">
        <v>34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194</v>
      </c>
      <c r="F67" s="2"/>
      <c r="G67" t="str">
        <f>WENNFEHLER(SVERWEIS(Kundenliste[[#This Row],[PLZ]];PLZ_Liste;2;0);"")</f>
        <v/>
      </c>
      <c r="H67" s="2" t="s">
        <v>195</v>
      </c>
      <c r="I67">
        <v>1</v>
      </c>
      <c r="J67" s="1">
        <v>46050</v>
      </c>
      <c r="K67" s="1"/>
      <c r="L67" s="12" t="s">
        <v>193</v>
      </c>
      <c r="M67" t="s">
        <v>25</v>
      </c>
    </row>
    <row r="68" spans="1:17" x14ac:dyDescent="0.2">
      <c r="A68" s="1">
        <v>46045</v>
      </c>
      <c r="B68" t="s">
        <v>19</v>
      </c>
      <c r="C68" t="s">
        <v>26</v>
      </c>
      <c r="D68" t="s">
        <v>196</v>
      </c>
      <c r="F68" s="2">
        <v>80803</v>
      </c>
      <c r="G68" t="str">
        <f>WENNFEHLER(SVERWEIS(Kundenliste[[#This Row],[PLZ]];PLZ_Liste;2;0);"")</f>
        <v>München</v>
      </c>
      <c r="H68">
        <v>17636726243</v>
      </c>
      <c r="I68">
        <v>2</v>
      </c>
      <c r="J68" s="1">
        <v>46048</v>
      </c>
      <c r="K68" s="1"/>
      <c r="L68" s="12"/>
      <c r="M68" t="s">
        <v>28</v>
      </c>
      <c r="N68" t="s">
        <v>29</v>
      </c>
      <c r="O68" t="s">
        <v>197</v>
      </c>
      <c r="Q68" t="s">
        <v>36</v>
      </c>
    </row>
    <row r="69" spans="1:17" x14ac:dyDescent="0.2">
      <c r="A69" s="1">
        <v>46045</v>
      </c>
      <c r="B69" t="s">
        <v>19</v>
      </c>
      <c r="C69" t="s">
        <v>32</v>
      </c>
      <c r="D69" t="s">
        <v>198</v>
      </c>
      <c r="F69" s="2">
        <v>84030</v>
      </c>
      <c r="G69" t="str">
        <f>WENNFEHLER(SVERWEIS(Kundenliste[[#This Row],[PLZ]];PLZ_Liste;2;0);"")</f>
        <v>Landshut</v>
      </c>
      <c r="H69">
        <v>15224475472</v>
      </c>
      <c r="I69">
        <v>1</v>
      </c>
      <c r="J69" s="1">
        <v>46051</v>
      </c>
      <c r="K69" s="1"/>
      <c r="L69" s="12"/>
      <c r="M69" t="s">
        <v>28</v>
      </c>
      <c r="N69" t="s">
        <v>29</v>
      </c>
      <c r="O69" t="s">
        <v>64</v>
      </c>
    </row>
    <row r="70" spans="1:17" ht="17" x14ac:dyDescent="0.2">
      <c r="A70" s="1">
        <v>46047</v>
      </c>
      <c r="B70" t="s">
        <v>19</v>
      </c>
      <c r="C70" t="s">
        <v>32</v>
      </c>
      <c r="D70" t="s">
        <v>199</v>
      </c>
      <c r="F70" s="2">
        <v>84028</v>
      </c>
      <c r="G70" t="str">
        <f>WENNFEHLER(SVERWEIS(Kundenliste[[#This Row],[PLZ]];PLZ_Liste;2;0);"")</f>
        <v>Landshut</v>
      </c>
      <c r="H70">
        <v>8719740630</v>
      </c>
      <c r="I70">
        <v>4</v>
      </c>
      <c r="J70" s="1">
        <v>46048</v>
      </c>
      <c r="K70" s="1">
        <v>46049</v>
      </c>
      <c r="L70" s="12" t="s">
        <v>200</v>
      </c>
      <c r="M70" t="s">
        <v>25</v>
      </c>
    </row>
    <row r="71" spans="1:17" ht="17" x14ac:dyDescent="0.2">
      <c r="A71" s="1">
        <v>46047</v>
      </c>
      <c r="B71" t="s">
        <v>19</v>
      </c>
      <c r="C71" t="s">
        <v>26</v>
      </c>
      <c r="D71" t="s">
        <v>201</v>
      </c>
      <c r="F71" s="2">
        <v>81825</v>
      </c>
      <c r="G71" t="str">
        <f>WENNFEHLER(SVERWEIS(Kundenliste[[#This Row],[PLZ]];PLZ_Liste;2;0);"")</f>
        <v>München</v>
      </c>
      <c r="H71">
        <v>1792013501</v>
      </c>
      <c r="I71">
        <v>1</v>
      </c>
      <c r="J71" s="1">
        <v>46048</v>
      </c>
      <c r="K71" s="1"/>
      <c r="L71" s="12" t="s">
        <v>202</v>
      </c>
      <c r="M71" t="s">
        <v>28</v>
      </c>
      <c r="N71" t="s">
        <v>29</v>
      </c>
      <c r="O71" t="s">
        <v>64</v>
      </c>
    </row>
    <row r="72" spans="1:17" ht="17" x14ac:dyDescent="0.2">
      <c r="A72" s="1">
        <v>46065</v>
      </c>
      <c r="B72" t="s">
        <v>137</v>
      </c>
      <c r="C72" t="s">
        <v>26</v>
      </c>
      <c r="D72" t="s">
        <v>203</v>
      </c>
      <c r="F72" s="2">
        <v>84032</v>
      </c>
      <c r="G72" t="str">
        <f>WENNFEHLER(SVERWEIS(Kundenliste[[#This Row],[PLZ]];PLZ_Liste;2;0);"")</f>
        <v>Furth Kr. Landshut</v>
      </c>
      <c r="H72" s="2" t="s">
        <v>204</v>
      </c>
      <c r="I72">
        <v>2</v>
      </c>
      <c r="J72" s="1">
        <v>46066</v>
      </c>
      <c r="K72" s="1">
        <v>46066</v>
      </c>
      <c r="L72" s="12" t="s">
        <v>205</v>
      </c>
      <c r="M72" t="s">
        <v>107</v>
      </c>
    </row>
    <row r="73" spans="1:17" x14ac:dyDescent="0.2">
      <c r="A73" s="1">
        <v>46048</v>
      </c>
      <c r="B73" t="s">
        <v>34</v>
      </c>
      <c r="C73" t="s">
        <v>32</v>
      </c>
      <c r="D73" t="s">
        <v>206</v>
      </c>
      <c r="F73" s="2">
        <v>85748</v>
      </c>
      <c r="G73" t="str">
        <f>WENNFEHLER(SVERWEIS(Kundenliste[[#This Row],[PLZ]];PLZ_Liste;2;0);"")</f>
        <v>Garching b. München</v>
      </c>
      <c r="H73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x14ac:dyDescent="0.2">
      <c r="A74" s="1">
        <v>46048</v>
      </c>
      <c r="B74" t="s">
        <v>34</v>
      </c>
      <c r="C74" t="s">
        <v>26</v>
      </c>
      <c r="D74" t="s">
        <v>207</v>
      </c>
      <c r="E74" t="s">
        <v>208</v>
      </c>
      <c r="F74" s="2">
        <v>81673</v>
      </c>
      <c r="G74" t="str">
        <f>WENNFEHLER(SVERWEIS(Kundenliste[[#This Row],[PLZ]];PLZ_Liste;2;0);"")</f>
        <v>München</v>
      </c>
      <c r="H74" s="2" t="s">
        <v>209</v>
      </c>
      <c r="I74">
        <v>2</v>
      </c>
      <c r="J74" s="1">
        <v>46050</v>
      </c>
      <c r="K74" s="1"/>
      <c r="L74" s="12"/>
      <c r="M74" t="s">
        <v>107</v>
      </c>
    </row>
    <row r="75" spans="1:17" x14ac:dyDescent="0.2">
      <c r="A75" s="1">
        <v>46048</v>
      </c>
      <c r="B75" t="s">
        <v>19</v>
      </c>
      <c r="C75" t="s">
        <v>26</v>
      </c>
      <c r="D75" t="s">
        <v>210</v>
      </c>
      <c r="F75" s="2"/>
      <c r="G75" t="str">
        <f>WENNFEHLER(SVERWEIS(Kundenliste[[#This Row],[PLZ]];PLZ_Liste;2;0);"")</f>
        <v/>
      </c>
      <c r="H75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211</v>
      </c>
    </row>
    <row r="76" spans="1:17" x14ac:dyDescent="0.2">
      <c r="A76" s="1">
        <v>46048</v>
      </c>
      <c r="B76" t="s">
        <v>19</v>
      </c>
      <c r="C76" t="s">
        <v>26</v>
      </c>
      <c r="D76" t="s">
        <v>212</v>
      </c>
      <c r="F76" s="2">
        <v>85521</v>
      </c>
      <c r="G76" t="str">
        <f>WENNFEHLER(SVERWEIS(Kundenliste[[#This Row],[PLZ]];PLZ_Liste;2;0);"")</f>
        <v>Hohenbrunn</v>
      </c>
      <c r="H76" s="2" t="s">
        <v>213</v>
      </c>
      <c r="I76">
        <v>3</v>
      </c>
      <c r="J76" s="1"/>
      <c r="K76" s="1"/>
      <c r="L76" s="12"/>
      <c r="M76" t="s">
        <v>25</v>
      </c>
    </row>
    <row r="77" spans="1:17" x14ac:dyDescent="0.2">
      <c r="A77" s="1">
        <v>46048</v>
      </c>
      <c r="B77" t="s">
        <v>19</v>
      </c>
      <c r="C77" t="s">
        <v>26</v>
      </c>
      <c r="D77" t="s">
        <v>214</v>
      </c>
      <c r="F77" s="2">
        <v>85301</v>
      </c>
      <c r="G77" t="str">
        <f>WENNFEHLER(SVERWEIS(Kundenliste[[#This Row],[PLZ]];PLZ_Liste;2;0);"")</f>
        <v>Schweitenkirchen</v>
      </c>
      <c r="H77" s="2" t="s">
        <v>216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211</v>
      </c>
    </row>
    <row r="78" spans="1:17" ht="17" x14ac:dyDescent="0.2">
      <c r="A78" s="1">
        <v>46048</v>
      </c>
      <c r="B78" t="s">
        <v>19</v>
      </c>
      <c r="C78" t="s">
        <v>26</v>
      </c>
      <c r="D78" t="s">
        <v>217</v>
      </c>
      <c r="F78" s="2">
        <v>81927</v>
      </c>
      <c r="G78" t="str">
        <f>WENNFEHLER(SVERWEIS(Kundenliste[[#This Row],[PLZ]];PLZ_Liste;2;0);"")</f>
        <v>München</v>
      </c>
      <c r="H78">
        <v>1792955745</v>
      </c>
      <c r="I78">
        <v>5</v>
      </c>
      <c r="J78" s="1">
        <v>46051</v>
      </c>
      <c r="K78" s="1"/>
      <c r="L78" s="12" t="s">
        <v>218</v>
      </c>
      <c r="M78" t="s">
        <v>153</v>
      </c>
      <c r="N78" t="s">
        <v>29</v>
      </c>
      <c r="O78" t="s">
        <v>219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220</v>
      </c>
      <c r="F79" s="2">
        <v>85406</v>
      </c>
      <c r="G79" t="str">
        <f>WENNFEHLER(SVERWEIS(Kundenliste[[#This Row],[PLZ]];PLZ_Liste;2;0);"")</f>
        <v>Zolling</v>
      </c>
      <c r="H79" s="2" t="s">
        <v>221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x14ac:dyDescent="0.2">
      <c r="A80" s="1">
        <v>46049</v>
      </c>
      <c r="B80" t="s">
        <v>34</v>
      </c>
      <c r="C80" t="s">
        <v>32</v>
      </c>
      <c r="D80" t="s">
        <v>222</v>
      </c>
      <c r="F80" s="2">
        <v>85604</v>
      </c>
      <c r="G80" t="str">
        <f>WENNFEHLER(SVERWEIS(Kundenliste[[#This Row],[PLZ]];PLZ_Liste;2;0);"")</f>
        <v>Zorneding</v>
      </c>
      <c r="H80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x14ac:dyDescent="0.2">
      <c r="A81" s="1">
        <v>46049</v>
      </c>
      <c r="B81" t="s">
        <v>19</v>
      </c>
      <c r="C81" t="s">
        <v>26</v>
      </c>
      <c r="D81" t="s">
        <v>224</v>
      </c>
      <c r="F81" s="2">
        <v>85356</v>
      </c>
      <c r="G81" t="str">
        <f>WENNFEHLER(SVERWEIS(Kundenliste[[#This Row],[PLZ]];PLZ_Liste;2;0);"")</f>
        <v>Freising</v>
      </c>
      <c r="H81" s="2" t="s">
        <v>225</v>
      </c>
      <c r="I81">
        <v>3</v>
      </c>
      <c r="J81" s="1">
        <v>46049</v>
      </c>
      <c r="K81" s="1"/>
      <c r="L81" s="12" t="s">
        <v>226</v>
      </c>
      <c r="M81" t="s">
        <v>28</v>
      </c>
      <c r="N81" t="s">
        <v>29</v>
      </c>
      <c r="O81" t="s">
        <v>78</v>
      </c>
    </row>
    <row r="82" spans="1:17" x14ac:dyDescent="0.2">
      <c r="A82" s="1">
        <v>46049</v>
      </c>
      <c r="B82" t="s">
        <v>19</v>
      </c>
      <c r="C82" t="s">
        <v>26</v>
      </c>
      <c r="D82" t="s">
        <v>227</v>
      </c>
      <c r="F82" s="2">
        <v>85604</v>
      </c>
      <c r="G82" t="str">
        <f>WENNFEHLER(SVERWEIS(Kundenliste[[#This Row],[PLZ]];PLZ_Liste;2;0);"")</f>
        <v>Zorneding</v>
      </c>
      <c r="H82" s="2" t="s">
        <v>228</v>
      </c>
      <c r="I82">
        <v>2</v>
      </c>
      <c r="J82" s="1">
        <v>46049</v>
      </c>
      <c r="K82" s="1"/>
      <c r="L82" s="12"/>
      <c r="M82" t="s">
        <v>25</v>
      </c>
    </row>
    <row r="83" spans="1:17" x14ac:dyDescent="0.2">
      <c r="A83" s="1">
        <v>46049</v>
      </c>
      <c r="B83" t="s">
        <v>19</v>
      </c>
      <c r="C83" t="s">
        <v>26</v>
      </c>
      <c r="D83" t="s">
        <v>229</v>
      </c>
      <c r="F83" s="2">
        <v>85375</v>
      </c>
      <c r="G83" t="str">
        <f>WENNFEHLER(SVERWEIS(Kundenliste[[#This Row],[PLZ]];PLZ_Liste;2;0);"")</f>
        <v>Neufahrn b. Freising</v>
      </c>
      <c r="H83" s="2" t="s">
        <v>230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x14ac:dyDescent="0.2">
      <c r="A84" s="1">
        <v>46049</v>
      </c>
      <c r="B84" t="s">
        <v>19</v>
      </c>
      <c r="C84" t="s">
        <v>26</v>
      </c>
      <c r="D84" t="s">
        <v>231</v>
      </c>
      <c r="F84" s="2">
        <v>85521</v>
      </c>
      <c r="G84" t="str">
        <f>WENNFEHLER(SVERWEIS(Kundenliste[[#This Row],[PLZ]];PLZ_Liste;2;0);"")</f>
        <v>Hohenbrunn</v>
      </c>
      <c r="H84" s="2" t="s">
        <v>213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x14ac:dyDescent="0.2">
      <c r="A85" s="1">
        <v>46049</v>
      </c>
      <c r="B85" t="s">
        <v>19</v>
      </c>
      <c r="C85" t="s">
        <v>26</v>
      </c>
      <c r="D85" t="s">
        <v>232</v>
      </c>
      <c r="F85" s="2">
        <v>81379</v>
      </c>
      <c r="G85" t="str">
        <f>WENNFEHLER(SVERWEIS(Kundenliste[[#This Row],[PLZ]];PLZ_Liste;2;0);"")</f>
        <v>München</v>
      </c>
      <c r="H85" s="2" t="s">
        <v>233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x14ac:dyDescent="0.2">
      <c r="A86" s="1">
        <v>46049</v>
      </c>
      <c r="B86" t="s">
        <v>19</v>
      </c>
      <c r="C86" t="s">
        <v>26</v>
      </c>
      <c r="D86" t="s">
        <v>234</v>
      </c>
      <c r="F86" s="2">
        <v>81545</v>
      </c>
      <c r="G86" t="str">
        <f>WENNFEHLER(SVERWEIS(Kundenliste[[#This Row],[PLZ]];PLZ_Liste;2;0);"")</f>
        <v>München</v>
      </c>
      <c r="H86" s="2" t="s">
        <v>235</v>
      </c>
      <c r="I86">
        <v>2</v>
      </c>
      <c r="J86" s="1">
        <v>46055</v>
      </c>
      <c r="K86" s="1"/>
      <c r="L86" s="12" t="s">
        <v>236</v>
      </c>
      <c r="M86" t="s">
        <v>153</v>
      </c>
    </row>
    <row r="87" spans="1:17" x14ac:dyDescent="0.2">
      <c r="A87" s="1">
        <v>46050</v>
      </c>
      <c r="B87" t="s">
        <v>19</v>
      </c>
      <c r="C87" t="s">
        <v>32</v>
      </c>
      <c r="D87" t="s">
        <v>237</v>
      </c>
      <c r="F87" s="2">
        <v>85368</v>
      </c>
      <c r="G87" t="str">
        <f>WENNFEHLER(SVERWEIS(Kundenliste[[#This Row],[PLZ]];PLZ_Liste;2;0);"")</f>
        <v>Wang</v>
      </c>
      <c r="H87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x14ac:dyDescent="0.2">
      <c r="A88" s="1">
        <v>46050</v>
      </c>
      <c r="B88" t="s">
        <v>19</v>
      </c>
      <c r="C88" t="s">
        <v>26</v>
      </c>
      <c r="D88" t="s">
        <v>238</v>
      </c>
      <c r="F88" s="2">
        <v>80935</v>
      </c>
      <c r="G88" t="str">
        <f>WENNFEHLER(SVERWEIS(Kundenliste[[#This Row],[PLZ]];PLZ_Liste;2;0);"")</f>
        <v>München</v>
      </c>
      <c r="H88" s="2" t="s">
        <v>239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240</v>
      </c>
    </row>
    <row r="89" spans="1:17" x14ac:dyDescent="0.2">
      <c r="A89" s="1">
        <v>46050</v>
      </c>
      <c r="B89" t="s">
        <v>19</v>
      </c>
      <c r="C89" t="s">
        <v>26</v>
      </c>
      <c r="D89" t="s">
        <v>241</v>
      </c>
      <c r="F89" s="2">
        <v>81927</v>
      </c>
      <c r="G89" t="str">
        <f>WENNFEHLER(SVERWEIS(Kundenliste[[#This Row],[PLZ]];PLZ_Liste;2;0);"")</f>
        <v>München</v>
      </c>
      <c r="H89" s="2" t="s">
        <v>242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tr">
        <f>WENNFEHLER(SVERWEIS(Kundenliste[[#This Row],[PLZ]];PLZ_Liste;2;0);"")</f>
        <v/>
      </c>
      <c r="H90" s="2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x14ac:dyDescent="0.2">
      <c r="A91" s="1">
        <v>46050</v>
      </c>
      <c r="B91" t="s">
        <v>19</v>
      </c>
      <c r="C91" t="s">
        <v>26</v>
      </c>
      <c r="D91" t="s">
        <v>243</v>
      </c>
      <c r="F91" s="2">
        <v>84034</v>
      </c>
      <c r="G91" t="str">
        <f>WENNFEHLER(SVERWEIS(Kundenliste[[#This Row],[PLZ]];PLZ_Liste;2;0);"")</f>
        <v>Landshut</v>
      </c>
      <c r="H91" s="2" t="s">
        <v>244</v>
      </c>
      <c r="I91">
        <v>2</v>
      </c>
      <c r="J91" s="1">
        <v>46050</v>
      </c>
      <c r="K91" s="1"/>
      <c r="L91" s="12"/>
      <c r="M91" t="s">
        <v>25</v>
      </c>
    </row>
    <row r="92" spans="1:17" x14ac:dyDescent="0.2">
      <c r="A92" s="1">
        <v>46050</v>
      </c>
      <c r="B92" t="s">
        <v>19</v>
      </c>
      <c r="C92" t="s">
        <v>26</v>
      </c>
      <c r="D92" t="s">
        <v>245</v>
      </c>
      <c r="F92" s="2">
        <v>84036</v>
      </c>
      <c r="G92" t="str">
        <f>WENNFEHLER(SVERWEIS(Kundenliste[[#This Row],[PLZ]];PLZ_Liste;2;0);"")</f>
        <v>Landshut</v>
      </c>
      <c r="H92" s="2" t="s">
        <v>247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x14ac:dyDescent="0.2">
      <c r="A93" s="1">
        <v>46050</v>
      </c>
      <c r="B93" t="s">
        <v>19</v>
      </c>
      <c r="C93" t="s">
        <v>26</v>
      </c>
      <c r="D93" t="s">
        <v>248</v>
      </c>
      <c r="F93" s="2">
        <v>85375</v>
      </c>
      <c r="G93" t="str">
        <f>WENNFEHLER(SVERWEIS(Kundenliste[[#This Row],[PLZ]];PLZ_Liste;2;0);"")</f>
        <v>Neufahrn b. Freising</v>
      </c>
      <c r="H93" s="2"/>
      <c r="J93" s="1"/>
      <c r="K93" s="1"/>
      <c r="L93" s="12"/>
      <c r="M93" t="s">
        <v>28</v>
      </c>
      <c r="N93" t="s">
        <v>169</v>
      </c>
      <c r="O93" t="s">
        <v>249</v>
      </c>
      <c r="Q93" t="s">
        <v>25</v>
      </c>
    </row>
    <row r="94" spans="1:17" x14ac:dyDescent="0.2">
      <c r="A94" s="1">
        <v>46050</v>
      </c>
      <c r="B94" t="s">
        <v>169</v>
      </c>
      <c r="C94" t="s">
        <v>26</v>
      </c>
      <c r="D94" t="s">
        <v>250</v>
      </c>
      <c r="F94" s="2">
        <v>85406</v>
      </c>
      <c r="G94" t="str">
        <f>WENNFEHLER(SVERWEIS(Kundenliste[[#This Row],[PLZ]];PLZ_Liste;2;0);"")</f>
        <v>Zolling</v>
      </c>
      <c r="H94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x14ac:dyDescent="0.2">
      <c r="A95" s="1">
        <v>46050</v>
      </c>
      <c r="B95" t="s">
        <v>169</v>
      </c>
      <c r="C95" t="s">
        <v>26</v>
      </c>
      <c r="D95" t="s">
        <v>251</v>
      </c>
      <c r="F95" s="2">
        <v>83553</v>
      </c>
      <c r="G95" t="str">
        <f>WENNFEHLER(SVERWEIS(Kundenliste[[#This Row],[PLZ]];PLZ_Liste;2;0);"")</f>
        <v>Frauenneuharting</v>
      </c>
      <c r="H95" s="2" t="s">
        <v>253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x14ac:dyDescent="0.2">
      <c r="A96" s="1">
        <v>46051</v>
      </c>
      <c r="B96" t="s">
        <v>19</v>
      </c>
      <c r="C96" t="s">
        <v>26</v>
      </c>
      <c r="D96" t="s">
        <v>254</v>
      </c>
      <c r="F96" s="2">
        <v>84030</v>
      </c>
      <c r="G96" t="str">
        <f>WENNFEHLER(SVERWEIS(Kundenliste[[#This Row],[PLZ]];PLZ_Liste;2;0);"")</f>
        <v>Landshut</v>
      </c>
      <c r="H96">
        <v>8784346</v>
      </c>
      <c r="I96">
        <v>2</v>
      </c>
      <c r="J96" s="1"/>
      <c r="K96" s="1"/>
      <c r="L96" s="12" t="s">
        <v>255</v>
      </c>
      <c r="M96" t="s">
        <v>153</v>
      </c>
      <c r="N96" t="s">
        <v>29</v>
      </c>
      <c r="O96" t="s">
        <v>256</v>
      </c>
    </row>
    <row r="97" spans="1:16" x14ac:dyDescent="0.2">
      <c r="A97" s="1">
        <v>46051</v>
      </c>
      <c r="B97" t="s">
        <v>19</v>
      </c>
      <c r="C97" t="s">
        <v>26</v>
      </c>
      <c r="D97" t="s">
        <v>257</v>
      </c>
      <c r="F97" s="2">
        <v>84030</v>
      </c>
      <c r="G97" t="str">
        <f>WENNFEHLER(SVERWEIS(Kundenliste[[#This Row],[PLZ]];PLZ_Liste;2;0);"")</f>
        <v>Landshut</v>
      </c>
      <c r="H97" s="2" t="s">
        <v>258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256</v>
      </c>
      <c r="P97" t="s">
        <v>259</v>
      </c>
    </row>
    <row r="98" spans="1:16" ht="17" x14ac:dyDescent="0.2">
      <c r="A98" s="1">
        <v>46051</v>
      </c>
      <c r="B98" t="s">
        <v>19</v>
      </c>
      <c r="C98" t="s">
        <v>32</v>
      </c>
      <c r="D98" t="s">
        <v>260</v>
      </c>
      <c r="F98" s="2">
        <v>80809</v>
      </c>
      <c r="G98" t="str">
        <f>WENNFEHLER(SVERWEIS(Kundenliste[[#This Row],[PLZ]];PLZ_Liste;2;0);"")</f>
        <v>München</v>
      </c>
      <c r="H98">
        <v>1794645206</v>
      </c>
      <c r="I98">
        <v>2</v>
      </c>
      <c r="J98" s="1">
        <v>46051</v>
      </c>
      <c r="K98" s="1"/>
      <c r="L98" s="12" t="s">
        <v>261</v>
      </c>
      <c r="M98" t="s">
        <v>153</v>
      </c>
      <c r="N98" t="s">
        <v>29</v>
      </c>
      <c r="O98" t="s">
        <v>41</v>
      </c>
    </row>
    <row r="99" spans="1:16" x14ac:dyDescent="0.2">
      <c r="A99" s="1">
        <v>46051</v>
      </c>
      <c r="B99" t="s">
        <v>169</v>
      </c>
      <c r="C99" t="s">
        <v>32</v>
      </c>
      <c r="D99" t="s">
        <v>262</v>
      </c>
      <c r="F99" s="2">
        <v>84034</v>
      </c>
      <c r="G99" t="str">
        <f>WENNFEHLER(SVERWEIS(Kundenliste[[#This Row],[PLZ]];PLZ_Liste;2;0);"")</f>
        <v>Landshut</v>
      </c>
      <c r="H99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x14ac:dyDescent="0.2">
      <c r="A100" s="1">
        <v>46052</v>
      </c>
      <c r="B100" t="s">
        <v>137</v>
      </c>
      <c r="C100" t="s">
        <v>26</v>
      </c>
      <c r="D100" t="s">
        <v>263</v>
      </c>
      <c r="F100" s="2">
        <v>85416</v>
      </c>
      <c r="G100" t="str">
        <f>WENNFEHLER(SVERWEIS(Kundenliste[[#This Row],[PLZ]];PLZ_Liste;2;0);"")</f>
        <v>Langenbach Kr. Freising</v>
      </c>
      <c r="H100" s="2" t="s">
        <v>264</v>
      </c>
      <c r="I100">
        <v>3</v>
      </c>
      <c r="J100" s="1">
        <v>46066</v>
      </c>
      <c r="K100" s="1">
        <v>46067</v>
      </c>
      <c r="L100" s="12" t="s">
        <v>265</v>
      </c>
      <c r="M100" t="s">
        <v>107</v>
      </c>
    </row>
    <row r="101" spans="1:16" x14ac:dyDescent="0.2">
      <c r="A101" s="1">
        <v>46061</v>
      </c>
      <c r="B101" t="s">
        <v>169</v>
      </c>
      <c r="C101" t="s">
        <v>26</v>
      </c>
      <c r="D101" t="s">
        <v>266</v>
      </c>
      <c r="F101" s="2">
        <v>80939</v>
      </c>
      <c r="G101" t="str">
        <f>WENNFEHLER(SVERWEIS(Kundenliste[[#This Row],[PLZ]];PLZ_Liste;2;0);"")</f>
        <v>München</v>
      </c>
      <c r="H101" s="2" t="s">
        <v>267</v>
      </c>
      <c r="I101">
        <v>2</v>
      </c>
      <c r="J101" s="1">
        <v>46066</v>
      </c>
      <c r="K101" s="1">
        <v>46067</v>
      </c>
      <c r="L101" s="12"/>
      <c r="M101" t="s">
        <v>268</v>
      </c>
    </row>
    <row r="102" spans="1:16" ht="17" x14ac:dyDescent="0.2">
      <c r="A102" s="1">
        <v>46052</v>
      </c>
      <c r="B102" t="s">
        <v>19</v>
      </c>
      <c r="C102" t="s">
        <v>32</v>
      </c>
      <c r="D102" t="s">
        <v>269</v>
      </c>
      <c r="F102" s="2">
        <v>80807</v>
      </c>
      <c r="G102" t="str">
        <f>WENNFEHLER(SVERWEIS(Kundenliste[[#This Row],[PLZ]];PLZ_Liste;2;0);"")</f>
        <v>München</v>
      </c>
      <c r="H102">
        <v>89355476</v>
      </c>
      <c r="I102">
        <v>2</v>
      </c>
      <c r="J102" s="1">
        <v>46055</v>
      </c>
      <c r="K102" s="1"/>
      <c r="L102" s="12" t="s">
        <v>270</v>
      </c>
      <c r="M102" t="s">
        <v>153</v>
      </c>
      <c r="N102" t="s">
        <v>29</v>
      </c>
      <c r="O102" t="s">
        <v>64</v>
      </c>
    </row>
    <row r="103" spans="1:16" ht="17" x14ac:dyDescent="0.2">
      <c r="A103" s="1">
        <v>46052</v>
      </c>
      <c r="B103" t="s">
        <v>19</v>
      </c>
      <c r="C103" t="s">
        <v>26</v>
      </c>
      <c r="D103" t="s">
        <v>271</v>
      </c>
      <c r="F103" s="2">
        <v>85599</v>
      </c>
      <c r="G103" t="str">
        <f>WENNFEHLER(SVERWEIS(Kundenliste[[#This Row],[PLZ]];PLZ_Liste;2;0);"")</f>
        <v>Vaterstetten</v>
      </c>
      <c r="H103">
        <v>1735674804</v>
      </c>
      <c r="I103">
        <v>2</v>
      </c>
      <c r="J103" s="1">
        <v>46055</v>
      </c>
      <c r="K103" s="1"/>
      <c r="L103" s="12" t="s">
        <v>272</v>
      </c>
      <c r="M103" t="s">
        <v>28</v>
      </c>
      <c r="N103" t="s">
        <v>29</v>
      </c>
      <c r="O103" t="s">
        <v>273</v>
      </c>
    </row>
    <row r="104" spans="1:16" x14ac:dyDescent="0.2">
      <c r="A104" s="1">
        <v>46063</v>
      </c>
      <c r="B104" t="s">
        <v>169</v>
      </c>
      <c r="C104" t="s">
        <v>26</v>
      </c>
      <c r="D104" t="s">
        <v>274</v>
      </c>
      <c r="F104" s="2">
        <v>85375</v>
      </c>
      <c r="G104" t="str">
        <f>WENNFEHLER(SVERWEIS(Kundenliste[[#This Row],[PLZ]];PLZ_Liste;2;0);"")</f>
        <v>Neufahrn b. Freising</v>
      </c>
      <c r="H104" s="2" t="s">
        <v>275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x14ac:dyDescent="0.2">
      <c r="A105" s="1">
        <v>46055</v>
      </c>
      <c r="B105" t="s">
        <v>19</v>
      </c>
      <c r="C105" t="s">
        <v>26</v>
      </c>
      <c r="D105" t="s">
        <v>276</v>
      </c>
      <c r="F105" s="2">
        <v>84184</v>
      </c>
      <c r="G105" t="str">
        <f>WENNFEHLER(SVERWEIS(Kundenliste[[#This Row],[PLZ]];PLZ_Liste;2;0);"")</f>
        <v>Tiefenbach Kr. Landshut</v>
      </c>
      <c r="H105" s="2" t="s">
        <v>277</v>
      </c>
      <c r="I105">
        <v>1</v>
      </c>
      <c r="J105" s="1">
        <v>46055</v>
      </c>
      <c r="K105" s="1"/>
      <c r="L105" s="12" t="s">
        <v>278</v>
      </c>
      <c r="M105" t="s">
        <v>153</v>
      </c>
      <c r="N105" t="s">
        <v>137</v>
      </c>
      <c r="O105" t="s">
        <v>279</v>
      </c>
    </row>
    <row r="106" spans="1:16" ht="17" x14ac:dyDescent="0.2">
      <c r="A106" s="1">
        <v>46055</v>
      </c>
      <c r="B106" t="s">
        <v>19</v>
      </c>
      <c r="C106" t="s">
        <v>32</v>
      </c>
      <c r="D106" t="s">
        <v>280</v>
      </c>
      <c r="F106" s="2">
        <v>84030</v>
      </c>
      <c r="G106" t="str">
        <f>WENNFEHLER(SVERWEIS(Kundenliste[[#This Row],[PLZ]];PLZ_Liste;2;0);"")</f>
        <v>Landshut</v>
      </c>
      <c r="H106">
        <v>1624122957</v>
      </c>
      <c r="I106">
        <v>0</v>
      </c>
      <c r="J106" s="1">
        <v>46055</v>
      </c>
      <c r="K106" s="1">
        <v>46056</v>
      </c>
      <c r="L106" s="12" t="s">
        <v>270</v>
      </c>
      <c r="M106" t="s">
        <v>153</v>
      </c>
    </row>
    <row r="107" spans="1:16" ht="17" x14ac:dyDescent="0.2">
      <c r="A107" s="1">
        <v>46055</v>
      </c>
      <c r="B107" t="s">
        <v>19</v>
      </c>
      <c r="C107" t="s">
        <v>26</v>
      </c>
      <c r="D107" t="s">
        <v>281</v>
      </c>
      <c r="F107" s="2">
        <v>84030</v>
      </c>
      <c r="G107" t="str">
        <f>WENNFEHLER(SVERWEIS(Kundenliste[[#This Row],[PLZ]];PLZ_Liste;2;0);"")</f>
        <v>Landshut</v>
      </c>
      <c r="H107" s="2" t="s">
        <v>282</v>
      </c>
      <c r="J107" s="1">
        <v>46055</v>
      </c>
      <c r="K107" s="1"/>
      <c r="L107" s="12" t="s">
        <v>283</v>
      </c>
      <c r="M107" t="s">
        <v>25</v>
      </c>
    </row>
    <row r="108" spans="1:16" x14ac:dyDescent="0.2">
      <c r="A108" s="1">
        <v>46056</v>
      </c>
      <c r="B108" t="s">
        <v>19</v>
      </c>
      <c r="C108" t="s">
        <v>26</v>
      </c>
      <c r="D108" t="s">
        <v>284</v>
      </c>
      <c r="F108" s="2">
        <v>84030</v>
      </c>
      <c r="G108" t="str">
        <f>WENNFEHLER(SVERWEIS(Kundenliste[[#This Row],[PLZ]];PLZ_Liste;2;0);"")</f>
        <v>Landshut</v>
      </c>
      <c r="H10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x14ac:dyDescent="0.2">
      <c r="A109" s="1">
        <v>46057</v>
      </c>
      <c r="B109" t="s">
        <v>19</v>
      </c>
      <c r="C109" t="s">
        <v>26</v>
      </c>
      <c r="D109" t="s">
        <v>285</v>
      </c>
      <c r="F109" s="2"/>
      <c r="G109" t="str">
        <f>WENNFEHLER(SVERWEIS(Kundenliste[[#This Row],[PLZ]];PLZ_Liste;2;0);"")</f>
        <v/>
      </c>
      <c r="H109" s="2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x14ac:dyDescent="0.2">
      <c r="A110" s="1">
        <v>46058</v>
      </c>
      <c r="B110" t="s">
        <v>34</v>
      </c>
      <c r="C110" t="s">
        <v>26</v>
      </c>
      <c r="D110" t="s">
        <v>286</v>
      </c>
      <c r="F110" s="2">
        <v>85716</v>
      </c>
      <c r="G110" t="str">
        <f>WENNFEHLER(SVERWEIS(Kundenliste[[#This Row],[PLZ]];PLZ_Liste;2;0);"")</f>
        <v>Unterschleißheim</v>
      </c>
      <c r="H110" s="2" t="s">
        <v>287</v>
      </c>
      <c r="I110">
        <v>2</v>
      </c>
      <c r="J110" s="1">
        <v>46058</v>
      </c>
      <c r="K110" s="1"/>
      <c r="L110" s="12"/>
      <c r="M110" t="s">
        <v>107</v>
      </c>
    </row>
    <row r="111" spans="1:16" x14ac:dyDescent="0.2">
      <c r="A111" s="1">
        <v>46058</v>
      </c>
      <c r="B111" t="s">
        <v>34</v>
      </c>
      <c r="C111" t="s">
        <v>32</v>
      </c>
      <c r="D111" t="s">
        <v>288</v>
      </c>
      <c r="F111" s="2">
        <v>85617</v>
      </c>
      <c r="G111" t="str">
        <f>WENNFEHLER(SVERWEIS(Kundenliste[[#This Row],[PLZ]];PLZ_Liste;2;0);"")</f>
        <v>Aßling</v>
      </c>
      <c r="H111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19</v>
      </c>
      <c r="C112" t="s">
        <v>26</v>
      </c>
      <c r="D112" t="s">
        <v>289</v>
      </c>
      <c r="F112" s="2">
        <v>84032</v>
      </c>
      <c r="G112" t="str">
        <f>WENNFEHLER(SVERWEIS(Kundenliste[[#This Row],[PLZ]];PLZ_Liste;2;0);"")</f>
        <v>Furth Kr. Landshut</v>
      </c>
      <c r="H112" s="2" t="s">
        <v>290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291</v>
      </c>
      <c r="F113" s="2">
        <v>85356</v>
      </c>
      <c r="G113" t="str">
        <f>WENNFEHLER(SVERWEIS(Kundenliste[[#This Row],[PLZ]];PLZ_Liste;2;0);"")</f>
        <v>Freising</v>
      </c>
      <c r="H113" s="2" t="s">
        <v>292</v>
      </c>
      <c r="I113">
        <v>3</v>
      </c>
      <c r="J113" s="1">
        <v>46058</v>
      </c>
      <c r="K113" s="1"/>
      <c r="L113" s="12"/>
      <c r="M113" t="s">
        <v>25</v>
      </c>
    </row>
    <row r="114" spans="1:15" x14ac:dyDescent="0.2">
      <c r="A114" s="1">
        <v>46060</v>
      </c>
      <c r="B114" t="s">
        <v>19</v>
      </c>
      <c r="C114" t="s">
        <v>26</v>
      </c>
      <c r="D114" t="s">
        <v>224</v>
      </c>
      <c r="F114" s="2"/>
      <c r="G114" t="str">
        <f>WENNFEHLER(SVERWEIS(Kundenliste[[#This Row],[PLZ]];PLZ_Liste;2;0);"")</f>
        <v/>
      </c>
      <c r="H114" s="2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x14ac:dyDescent="0.2">
      <c r="A115" s="1">
        <v>46065</v>
      </c>
      <c r="B115" t="s">
        <v>169</v>
      </c>
      <c r="C115" t="s">
        <v>26</v>
      </c>
      <c r="D115" t="s">
        <v>293</v>
      </c>
      <c r="F115" s="2"/>
      <c r="G115" t="str">
        <f>WENNFEHLER(SVERWEIS(Kundenliste[[#This Row],[PLZ]];PLZ_Liste;2;0);"")</f>
        <v/>
      </c>
      <c r="H115" s="2" t="s">
        <v>294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295</v>
      </c>
      <c r="F116" s="2">
        <v>85399</v>
      </c>
      <c r="G116" t="str">
        <f>WENNFEHLER(SVERWEIS(Kundenliste[[#This Row],[PLZ]];PLZ_Liste;2;0);"")</f>
        <v>Hallbergmoos</v>
      </c>
      <c r="H116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x14ac:dyDescent="0.2">
      <c r="A117" s="1">
        <v>46062</v>
      </c>
      <c r="B117" t="s">
        <v>19</v>
      </c>
      <c r="C117" t="s">
        <v>26</v>
      </c>
      <c r="D117" t="s">
        <v>296</v>
      </c>
      <c r="F117" s="2">
        <v>85445</v>
      </c>
      <c r="G117" t="str">
        <f>WENNFEHLER(SVERWEIS(Kundenliste[[#This Row],[PLZ]];PLZ_Liste;2;0);"")</f>
        <v>Oberding</v>
      </c>
      <c r="H117" s="2" t="s">
        <v>298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299</v>
      </c>
      <c r="F118" s="2">
        <v>84032</v>
      </c>
      <c r="G118" t="str">
        <f>WENNFEHLER(SVERWEIS(Kundenliste[[#This Row],[PLZ]];PLZ_Liste;2;0);"")</f>
        <v>Furth Kr. Landshut</v>
      </c>
      <c r="H118" s="2" t="s">
        <v>300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x14ac:dyDescent="0.2">
      <c r="A119" s="1">
        <v>46066</v>
      </c>
      <c r="B119" t="s">
        <v>169</v>
      </c>
      <c r="C119" t="s">
        <v>32</v>
      </c>
      <c r="D119" t="s">
        <v>301</v>
      </c>
      <c r="F119" s="2">
        <v>85368</v>
      </c>
      <c r="G119" t="str">
        <f>WENNFEHLER(SVERWEIS(Kundenliste[[#This Row],[PLZ]];PLZ_Liste;2;0);"")</f>
        <v>Wang</v>
      </c>
      <c r="H119" s="2" t="s">
        <v>302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x14ac:dyDescent="0.2">
      <c r="A120" s="1">
        <v>46062</v>
      </c>
      <c r="B120" t="s">
        <v>34</v>
      </c>
      <c r="C120" t="s">
        <v>26</v>
      </c>
      <c r="D120" t="s">
        <v>303</v>
      </c>
      <c r="E120" t="s">
        <v>304</v>
      </c>
      <c r="F120" s="2">
        <v>84032</v>
      </c>
      <c r="G120" t="str">
        <f>WENNFEHLER(SVERWEIS(Kundenliste[[#This Row],[PLZ]];PLZ_Liste;2;0);"")</f>
        <v>Furth Kr. Landshut</v>
      </c>
      <c r="H120" s="2" t="s">
        <v>305</v>
      </c>
      <c r="I120">
        <v>1</v>
      </c>
      <c r="J120" s="1">
        <v>46066</v>
      </c>
      <c r="K120" s="1"/>
      <c r="L120" s="12"/>
      <c r="M120" t="s">
        <v>107</v>
      </c>
    </row>
    <row r="121" spans="1:15" x14ac:dyDescent="0.2">
      <c r="A121" s="1">
        <v>46064</v>
      </c>
      <c r="B121" t="s">
        <v>34</v>
      </c>
      <c r="C121" t="s">
        <v>26</v>
      </c>
      <c r="D121" t="s">
        <v>306</v>
      </c>
      <c r="F121" s="2">
        <v>85375</v>
      </c>
      <c r="G121" t="str">
        <f>WENNFEHLER(SVERWEIS(Kundenliste[[#This Row],[PLZ]];PLZ_Liste;2;0);"")</f>
        <v>Neufahrn b. Freising</v>
      </c>
      <c r="H121" s="2" t="s">
        <v>307</v>
      </c>
      <c r="I121">
        <v>1</v>
      </c>
      <c r="J121" s="1">
        <v>46064</v>
      </c>
      <c r="K121" s="1"/>
      <c r="L121" s="12"/>
      <c r="M121" t="s">
        <v>107</v>
      </c>
    </row>
    <row r="122" spans="1:15" x14ac:dyDescent="0.2">
      <c r="A122" s="1">
        <v>46063</v>
      </c>
      <c r="B122" t="s">
        <v>19</v>
      </c>
      <c r="D122" t="s">
        <v>308</v>
      </c>
      <c r="F122" s="2"/>
      <c r="G122" t="str">
        <f>WENNFEHLER(SVERWEIS(Kundenliste[[#This Row],[PLZ]];PLZ_Liste;2;0);"")</f>
        <v/>
      </c>
      <c r="H122" s="2"/>
      <c r="I122">
        <v>2</v>
      </c>
      <c r="J122" s="1">
        <v>46063</v>
      </c>
      <c r="K122" s="1"/>
      <c r="L122" s="12"/>
      <c r="M122" t="s">
        <v>28</v>
      </c>
      <c r="O122" t="s">
        <v>309</v>
      </c>
    </row>
    <row r="123" spans="1:15" x14ac:dyDescent="0.2">
      <c r="A123" s="1">
        <v>46063</v>
      </c>
      <c r="B123" t="s">
        <v>19</v>
      </c>
      <c r="C123" t="s">
        <v>26</v>
      </c>
      <c r="D123" t="s">
        <v>310</v>
      </c>
      <c r="F123" s="2"/>
      <c r="G123" t="str">
        <f>WENNFEHLER(SVERWEIS(Kundenliste[[#This Row],[PLZ]];PLZ_Liste;2;0);"")</f>
        <v/>
      </c>
      <c r="H123" s="2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ht="17" x14ac:dyDescent="0.2">
      <c r="A124" s="1">
        <v>46063</v>
      </c>
      <c r="B124" t="s">
        <v>19</v>
      </c>
      <c r="C124" t="s">
        <v>26</v>
      </c>
      <c r="D124" t="s">
        <v>311</v>
      </c>
      <c r="F124" s="2">
        <v>81925</v>
      </c>
      <c r="G124" t="str">
        <f>WENNFEHLER(SVERWEIS(Kundenliste[[#This Row],[PLZ]];PLZ_Liste;2;0);"")</f>
        <v>München</v>
      </c>
      <c r="H124" s="2" t="s">
        <v>312</v>
      </c>
      <c r="I124">
        <v>1</v>
      </c>
      <c r="J124" s="1">
        <v>46063</v>
      </c>
      <c r="K124" s="1"/>
      <c r="L124" s="12" t="s">
        <v>313</v>
      </c>
      <c r="M124" t="s">
        <v>28</v>
      </c>
    </row>
    <row r="125" spans="1:15" x14ac:dyDescent="0.2">
      <c r="A125" s="1">
        <v>46066</v>
      </c>
      <c r="B125" t="s">
        <v>169</v>
      </c>
      <c r="C125" t="s">
        <v>32</v>
      </c>
      <c r="D125" t="s">
        <v>314</v>
      </c>
      <c r="F125" s="2">
        <v>80939</v>
      </c>
      <c r="G125" t="str">
        <f>WENNFEHLER(SVERWEIS(Kundenliste[[#This Row],[PLZ]];PLZ_Liste;2;0);"")</f>
        <v>München</v>
      </c>
      <c r="H125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315</v>
      </c>
      <c r="F126" s="2">
        <v>85599</v>
      </c>
      <c r="G126" t="str">
        <f>WENNFEHLER(SVERWEIS(Kundenliste[[#This Row],[PLZ]];PLZ_Liste;2;0);"")</f>
        <v>Vaterstetten</v>
      </c>
      <c r="H126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46064</v>
      </c>
      <c r="B127" t="s">
        <v>19</v>
      </c>
      <c r="C127" t="s">
        <v>26</v>
      </c>
      <c r="D127" t="s">
        <v>316</v>
      </c>
      <c r="F127" s="2">
        <v>85445</v>
      </c>
      <c r="G127" t="str">
        <f>WENNFEHLER(SVERWEIS(Kundenliste[[#This Row],[PLZ]];PLZ_Liste;2;0);"")</f>
        <v>Oberding</v>
      </c>
      <c r="H127" s="2" t="s">
        <v>317</v>
      </c>
      <c r="I127">
        <v>2</v>
      </c>
      <c r="J127" s="1">
        <v>46066</v>
      </c>
      <c r="K127" s="1"/>
      <c r="L127" s="12"/>
      <c r="M127" t="s">
        <v>28</v>
      </c>
    </row>
    <row r="128" spans="1:15" x14ac:dyDescent="0.2">
      <c r="A128" s="1">
        <v>46066</v>
      </c>
      <c r="B128" t="s">
        <v>169</v>
      </c>
      <c r="C128" t="s">
        <v>26</v>
      </c>
      <c r="D128" t="s">
        <v>318</v>
      </c>
      <c r="F128" s="2">
        <v>85399</v>
      </c>
      <c r="G128" t="str">
        <f>WENNFEHLER(SVERWEIS(Kundenliste[[#This Row],[PLZ]];PLZ_Liste;2;0);"")</f>
        <v>Hallbergmoos</v>
      </c>
      <c r="H128" s="2"/>
      <c r="I128">
        <v>2</v>
      </c>
      <c r="J128" s="1">
        <v>46066</v>
      </c>
      <c r="K128" s="1">
        <v>46067</v>
      </c>
      <c r="L128" s="12"/>
      <c r="M128" t="s">
        <v>107</v>
      </c>
    </row>
    <row r="129" spans="1:19" x14ac:dyDescent="0.2">
      <c r="A129" s="1">
        <v>46062</v>
      </c>
      <c r="B129" t="s">
        <v>169</v>
      </c>
      <c r="C129" t="s">
        <v>26</v>
      </c>
      <c r="D129" t="s">
        <v>319</v>
      </c>
      <c r="F129" s="2">
        <v>85748</v>
      </c>
      <c r="G129" t="str">
        <f>WENNFEHLER(SVERWEIS(Kundenliste[[#This Row],[PLZ]];PLZ_Liste;2;0);"")</f>
        <v>Garching b. München</v>
      </c>
      <c r="H129" s="2" t="s">
        <v>320</v>
      </c>
      <c r="I129">
        <v>2</v>
      </c>
      <c r="J129" s="1">
        <v>46066</v>
      </c>
      <c r="K129" s="1">
        <v>46069</v>
      </c>
      <c r="L129" s="12"/>
      <c r="M129" t="s">
        <v>107</v>
      </c>
    </row>
    <row r="130" spans="1:19" x14ac:dyDescent="0.2">
      <c r="A130" s="1">
        <v>46065</v>
      </c>
      <c r="B130" t="s">
        <v>19</v>
      </c>
      <c r="C130" t="s">
        <v>26</v>
      </c>
      <c r="D130" t="s">
        <v>321</v>
      </c>
      <c r="F130" s="2">
        <v>85570</v>
      </c>
      <c r="G130" t="str">
        <f>WENNFEHLER(SVERWEIS(Kundenliste[[#This Row],[PLZ]];PLZ_Liste;2;0);"")</f>
        <v>Anzing</v>
      </c>
      <c r="H130" s="2" t="s">
        <v>322</v>
      </c>
      <c r="I130">
        <v>1</v>
      </c>
      <c r="J130" s="1"/>
      <c r="K130" s="1"/>
      <c r="L130" s="12"/>
      <c r="M130" t="s">
        <v>153</v>
      </c>
    </row>
    <row r="131" spans="1:19" x14ac:dyDescent="0.2">
      <c r="A131" s="1">
        <v>46065</v>
      </c>
      <c r="B131" t="s">
        <v>19</v>
      </c>
      <c r="C131" t="s">
        <v>26</v>
      </c>
      <c r="D131" t="s">
        <v>323</v>
      </c>
      <c r="F131" s="2">
        <v>85591</v>
      </c>
      <c r="G131" t="str">
        <f>WENNFEHLER(SVERWEIS(Kundenliste[[#This Row],[PLZ]];PLZ_Liste;2;0);"")</f>
        <v>Vaterstetten</v>
      </c>
      <c r="H131" s="2" t="s">
        <v>324</v>
      </c>
      <c r="I131">
        <v>2</v>
      </c>
      <c r="J131" s="1">
        <v>46066</v>
      </c>
      <c r="K131" s="1"/>
      <c r="L131" s="12"/>
      <c r="M131" t="s">
        <v>153</v>
      </c>
      <c r="N131" t="s">
        <v>29</v>
      </c>
      <c r="O131" t="s">
        <v>309</v>
      </c>
    </row>
    <row r="132" spans="1:19" ht="17" x14ac:dyDescent="0.2">
      <c r="A132" s="1">
        <v>46063</v>
      </c>
      <c r="B132" t="s">
        <v>137</v>
      </c>
      <c r="C132" t="s">
        <v>26</v>
      </c>
      <c r="D132" t="s">
        <v>325</v>
      </c>
      <c r="F132" s="2">
        <v>84028</v>
      </c>
      <c r="G132" t="str">
        <f>WENNFEHLER(SVERWEIS(Kundenliste[[#This Row],[PLZ]];PLZ_Liste;2;0);"")</f>
        <v>Landshut</v>
      </c>
      <c r="H132" s="2" t="s">
        <v>326</v>
      </c>
      <c r="I132">
        <v>2</v>
      </c>
      <c r="J132" s="1">
        <v>46066</v>
      </c>
      <c r="K132" s="1">
        <v>46069</v>
      </c>
      <c r="L132" s="12" t="s">
        <v>327</v>
      </c>
      <c r="M132" t="s">
        <v>107</v>
      </c>
    </row>
    <row r="133" spans="1:19" x14ac:dyDescent="0.2">
      <c r="A133" s="1">
        <v>46065</v>
      </c>
      <c r="B133" t="s">
        <v>34</v>
      </c>
      <c r="C133" t="s">
        <v>26</v>
      </c>
      <c r="D133" t="s">
        <v>328</v>
      </c>
      <c r="F133" s="2">
        <v>85375</v>
      </c>
      <c r="G133" t="str">
        <f>WENNFEHLER(SVERWEIS(Kundenliste[[#This Row],[PLZ]];PLZ_Liste;2;0);"")</f>
        <v>Neufahrn b. Freising</v>
      </c>
      <c r="H133" s="2" t="s">
        <v>329</v>
      </c>
      <c r="I133">
        <v>2</v>
      </c>
      <c r="J133" s="1">
        <v>46066</v>
      </c>
      <c r="K133" s="1"/>
      <c r="L133" s="12"/>
      <c r="M133" t="s">
        <v>107</v>
      </c>
    </row>
    <row r="134" spans="1:19" ht="17" x14ac:dyDescent="0.2">
      <c r="A134" s="1">
        <v>46065</v>
      </c>
      <c r="B134" t="s">
        <v>137</v>
      </c>
      <c r="C134" t="s">
        <v>32</v>
      </c>
      <c r="D134" t="s">
        <v>330</v>
      </c>
      <c r="F134" s="2"/>
      <c r="G134" t="str">
        <f>WENNFEHLER(SVERWEIS(Kundenliste[[#This Row],[PLZ]];PLZ_Liste;2;0);"")</f>
        <v/>
      </c>
      <c r="H134" s="2"/>
      <c r="J134" s="1">
        <v>46065</v>
      </c>
      <c r="K134" s="1">
        <v>46069</v>
      </c>
      <c r="L134" s="12" t="s">
        <v>331</v>
      </c>
      <c r="M134" t="s">
        <v>107</v>
      </c>
    </row>
    <row r="135" spans="1:19" x14ac:dyDescent="0.2">
      <c r="A135" s="1">
        <v>46065</v>
      </c>
      <c r="B135" t="s">
        <v>169</v>
      </c>
      <c r="C135" t="s">
        <v>32</v>
      </c>
      <c r="D135" t="s">
        <v>332</v>
      </c>
      <c r="F135" s="2">
        <v>84036</v>
      </c>
      <c r="G135" t="str">
        <f>WENNFEHLER(SVERWEIS(Kundenliste[[#This Row],[PLZ]];PLZ_Liste;2;0);"")</f>
        <v>Landshut</v>
      </c>
      <c r="H135" s="2" t="s">
        <v>333</v>
      </c>
      <c r="I135">
        <v>2</v>
      </c>
      <c r="J135" s="1">
        <v>46066</v>
      </c>
      <c r="K135" s="1">
        <v>46069</v>
      </c>
      <c r="L135" s="12"/>
      <c r="M135" t="s">
        <v>107</v>
      </c>
    </row>
    <row r="136" spans="1:19" ht="17" x14ac:dyDescent="0.2">
      <c r="A136" s="1">
        <v>46066</v>
      </c>
      <c r="B136" t="s">
        <v>137</v>
      </c>
      <c r="C136" t="s">
        <v>32</v>
      </c>
      <c r="D136" t="s">
        <v>334</v>
      </c>
      <c r="F136" s="2">
        <v>80805</v>
      </c>
      <c r="G136" t="str">
        <f>WENNFEHLER(SVERWEIS(Kundenliste[[#This Row],[PLZ]];PLZ_Liste;2;0);"")</f>
        <v>München</v>
      </c>
      <c r="H136" s="2" t="s">
        <v>335</v>
      </c>
      <c r="I136">
        <v>3</v>
      </c>
      <c r="J136" s="1">
        <v>46066</v>
      </c>
      <c r="K136" s="1">
        <v>46077</v>
      </c>
      <c r="L136" s="12" t="s">
        <v>278</v>
      </c>
      <c r="M136" t="s">
        <v>107</v>
      </c>
    </row>
    <row r="137" spans="1:19" x14ac:dyDescent="0.2">
      <c r="A137" s="1">
        <v>46051</v>
      </c>
      <c r="B137" t="s">
        <v>137</v>
      </c>
      <c r="C137" t="s">
        <v>32</v>
      </c>
      <c r="D137" t="s">
        <v>336</v>
      </c>
      <c r="F137" s="2">
        <v>81373</v>
      </c>
      <c r="G137" t="str">
        <f>WENNFEHLER(SVERWEIS(Kundenliste[[#This Row],[PLZ]];PLZ_Liste;2;0);"")</f>
        <v>München</v>
      </c>
      <c r="H137">
        <v>1743838682</v>
      </c>
      <c r="I137">
        <v>0</v>
      </c>
      <c r="J137" s="1">
        <v>46066</v>
      </c>
      <c r="K137" s="1">
        <v>46081</v>
      </c>
      <c r="L137" s="12"/>
      <c r="M137" t="s">
        <v>107</v>
      </c>
    </row>
    <row r="138" spans="1:19" x14ac:dyDescent="0.2">
      <c r="A138" s="1">
        <v>46047</v>
      </c>
      <c r="B138" t="s">
        <v>337</v>
      </c>
      <c r="C138" t="s">
        <v>26</v>
      </c>
      <c r="D138" t="s">
        <v>338</v>
      </c>
      <c r="F138" s="2">
        <v>84034</v>
      </c>
      <c r="G138" t="str">
        <f>WENNFEHLER(SVERWEIS(Kundenliste[[#This Row],[PLZ]];PLZ_Liste;2;0);"")</f>
        <v>Landshut</v>
      </c>
      <c r="H138">
        <v>15901677600</v>
      </c>
      <c r="I138">
        <v>2</v>
      </c>
      <c r="J138" s="1">
        <v>46058</v>
      </c>
      <c r="K138" s="1" t="s">
        <v>339</v>
      </c>
      <c r="L138" s="12"/>
      <c r="M138" t="s">
        <v>107</v>
      </c>
    </row>
    <row r="139" spans="1:19" ht="17" x14ac:dyDescent="0.2">
      <c r="A139" s="1">
        <v>46051</v>
      </c>
      <c r="B139" t="s">
        <v>137</v>
      </c>
      <c r="C139" t="s">
        <v>32</v>
      </c>
      <c r="D139" t="s">
        <v>340</v>
      </c>
      <c r="F139" s="2">
        <v>84144</v>
      </c>
      <c r="G139" t="str">
        <f>WENNFEHLER(SVERWEIS(Kundenliste[[#This Row],[PLZ]];PLZ_Liste;2;0);"")</f>
        <v>Geisenhausen</v>
      </c>
      <c r="H139">
        <v>1797102164</v>
      </c>
      <c r="I139">
        <v>1</v>
      </c>
      <c r="J139" s="1">
        <v>46064</v>
      </c>
      <c r="K139" s="1" t="s">
        <v>339</v>
      </c>
      <c r="L139" s="12" t="s">
        <v>341</v>
      </c>
      <c r="M139" t="s">
        <v>107</v>
      </c>
    </row>
    <row r="140" spans="1:19" ht="153" x14ac:dyDescent="0.2">
      <c r="A140" s="1">
        <v>46023</v>
      </c>
      <c r="B140" t="s">
        <v>7186</v>
      </c>
      <c r="C140" t="s">
        <v>7184</v>
      </c>
      <c r="D140" t="s">
        <v>7187</v>
      </c>
      <c r="F140" s="2">
        <v>80807</v>
      </c>
      <c r="G140" t="str">
        <f>WENNFEHLER(SVERWEIS(Kundenliste[[#This Row],[PLZ]];PLZ_Liste;2;0);"")</f>
        <v>München</v>
      </c>
      <c r="H140" s="2">
        <v>4989355476</v>
      </c>
      <c r="I140">
        <v>2</v>
      </c>
      <c r="J140" s="1"/>
      <c r="K140" s="1"/>
      <c r="L140" s="12" t="s">
        <v>7199</v>
      </c>
      <c r="S140" t="s">
        <v>7185</v>
      </c>
    </row>
    <row r="141" spans="1:19" ht="153" x14ac:dyDescent="0.2">
      <c r="A141" s="1">
        <v>46023</v>
      </c>
      <c r="B141" t="s">
        <v>7186</v>
      </c>
      <c r="C141" t="s">
        <v>7184</v>
      </c>
      <c r="D141" t="s">
        <v>7188</v>
      </c>
      <c r="F141" s="2">
        <v>85635</v>
      </c>
      <c r="G141" t="str">
        <f>WENNFEHLER(SVERWEIS(Kundenliste[[#This Row],[PLZ]];PLZ_Liste;2;0);"")</f>
        <v>Höhenkirchen-Siegertsbrunn</v>
      </c>
      <c r="H141" s="2">
        <v>4917612014000</v>
      </c>
      <c r="I141">
        <v>1</v>
      </c>
      <c r="J141" s="1"/>
      <c r="K141" s="1"/>
      <c r="L141" s="12" t="s">
        <v>7200</v>
      </c>
      <c r="S141" t="s">
        <v>7185</v>
      </c>
    </row>
    <row r="142" spans="1:19" ht="153" x14ac:dyDescent="0.2">
      <c r="A142" s="1">
        <v>46023</v>
      </c>
      <c r="B142" t="s">
        <v>7186</v>
      </c>
      <c r="C142" t="s">
        <v>7184</v>
      </c>
      <c r="D142" t="s">
        <v>7189</v>
      </c>
      <c r="F142" s="2">
        <v>80809</v>
      </c>
      <c r="G142" t="str">
        <f>WENNFEHLER(SVERWEIS(Kundenliste[[#This Row],[PLZ]];PLZ_Liste;2;0);"")</f>
        <v>München</v>
      </c>
      <c r="H142" s="2">
        <v>491794645206</v>
      </c>
      <c r="I142">
        <v>2</v>
      </c>
      <c r="J142" s="1"/>
      <c r="K142" s="1"/>
      <c r="L142" s="12" t="s">
        <v>7201</v>
      </c>
      <c r="S142" t="s">
        <v>7185</v>
      </c>
    </row>
    <row r="143" spans="1:19" ht="340" x14ac:dyDescent="0.2">
      <c r="A143" s="1">
        <v>46023</v>
      </c>
      <c r="B143" t="s">
        <v>7186</v>
      </c>
      <c r="C143" t="s">
        <v>7184</v>
      </c>
      <c r="D143" t="s">
        <v>7191</v>
      </c>
      <c r="F143" s="2">
        <v>80935</v>
      </c>
      <c r="G143" t="str">
        <f>WENNFEHLER(SVERWEIS(Kundenliste[[#This Row],[PLZ]];PLZ_Liste;2;0);"")</f>
        <v>München</v>
      </c>
      <c r="H143" s="2" t="s">
        <v>239</v>
      </c>
      <c r="I143">
        <v>1</v>
      </c>
      <c r="J143" s="1"/>
      <c r="K143" s="1"/>
      <c r="L143" s="12" t="s">
        <v>7202</v>
      </c>
      <c r="S143" t="s">
        <v>7190</v>
      </c>
    </row>
    <row r="144" spans="1:19" ht="153" x14ac:dyDescent="0.2">
      <c r="A144" s="1">
        <v>46023</v>
      </c>
      <c r="B144" t="s">
        <v>7186</v>
      </c>
      <c r="C144" t="s">
        <v>7184</v>
      </c>
      <c r="D144" t="s">
        <v>7194</v>
      </c>
      <c r="F144" s="2">
        <v>80939</v>
      </c>
      <c r="G144" t="str">
        <f>WENNFEHLER(SVERWEIS(Kundenliste[[#This Row],[PLZ]];PLZ_Liste;2;0);"")</f>
        <v>München</v>
      </c>
      <c r="H144" s="2">
        <v>4917624280678</v>
      </c>
      <c r="I144">
        <v>2</v>
      </c>
      <c r="J144" s="1"/>
      <c r="K144" s="1"/>
      <c r="L144" s="12" t="s">
        <v>7203</v>
      </c>
      <c r="S144" t="s">
        <v>7185</v>
      </c>
    </row>
    <row r="145" spans="1:19" ht="153" x14ac:dyDescent="0.2">
      <c r="A145" s="1">
        <v>46023</v>
      </c>
      <c r="B145" t="s">
        <v>7186</v>
      </c>
      <c r="C145" t="s">
        <v>7195</v>
      </c>
      <c r="D145" t="s">
        <v>7196</v>
      </c>
      <c r="F145" s="2">
        <v>84028</v>
      </c>
      <c r="G145" t="str">
        <f>WENNFEHLER(SVERWEIS(Kundenliste[[#This Row],[PLZ]];PLZ_Liste;2;0);"")</f>
        <v>Landshut</v>
      </c>
      <c r="H145" s="2">
        <v>498719740630</v>
      </c>
      <c r="I145">
        <v>4</v>
      </c>
      <c r="J145" s="1"/>
      <c r="K145" s="1"/>
      <c r="L145" s="12" t="s">
        <v>7204</v>
      </c>
      <c r="S145" t="s">
        <v>7185</v>
      </c>
    </row>
    <row r="146" spans="1:19" ht="323" x14ac:dyDescent="0.2">
      <c r="A146" s="1">
        <v>46023</v>
      </c>
      <c r="B146" t="s">
        <v>7186</v>
      </c>
      <c r="C146" t="s">
        <v>7184</v>
      </c>
      <c r="D146" t="s">
        <v>7197</v>
      </c>
      <c r="F146" s="2">
        <v>85386</v>
      </c>
      <c r="G146" t="str">
        <f>WENNFEHLER(SVERWEIS(Kundenliste[[#This Row],[PLZ]];PLZ_Liste;2;0);"")</f>
        <v>Eching Kr. Freising</v>
      </c>
      <c r="H146" s="2" t="s">
        <v>7198</v>
      </c>
      <c r="I146">
        <v>2</v>
      </c>
      <c r="J146" s="1"/>
      <c r="K146" s="1"/>
      <c r="L146" s="12" t="s">
        <v>7205</v>
      </c>
      <c r="S146" t="s">
        <v>7190</v>
      </c>
    </row>
  </sheetData>
  <dataValidations count="4">
    <dataValidation type="list" allowBlank="1" showInputMessage="1" showErrorMessage="1" sqref="B6:B146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6:C146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6:M146" xr:uid="{A410E08D-BACF-EB46-B737-7A1702EB18B9}">
      <formula1>"Ja,Nein,Laufend"</formula1>
    </dataValidation>
    <dataValidation type="list" allowBlank="1" showInputMessage="1" showErrorMessage="1" sqref="N6:N146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0:M139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7167</v>
      </c>
      <c r="U1" s="13" t="s">
        <v>7168</v>
      </c>
      <c r="V1" s="13" t="s">
        <v>7169</v>
      </c>
      <c r="W1" s="13" t="s">
        <v>7170</v>
      </c>
      <c r="X1" s="13" t="s">
        <v>7167</v>
      </c>
      <c r="Y1" s="13" t="s">
        <v>7170</v>
      </c>
    </row>
    <row r="2" spans="20:25" x14ac:dyDescent="0.25">
      <c r="T2" s="19">
        <v>46048</v>
      </c>
      <c r="U2" s="13">
        <v>131</v>
      </c>
      <c r="V2" s="13">
        <v>20</v>
      </c>
      <c r="W2" s="13">
        <v>67</v>
      </c>
      <c r="X2" s="19">
        <v>46048</v>
      </c>
      <c r="Y2" s="13">
        <v>67</v>
      </c>
    </row>
    <row r="3" spans="20:25" x14ac:dyDescent="0.25">
      <c r="T3" s="19">
        <v>46079</v>
      </c>
      <c r="U3" s="13">
        <v>35</v>
      </c>
      <c r="V3" s="13">
        <v>2</v>
      </c>
      <c r="W3" s="13">
        <v>14</v>
      </c>
      <c r="X3" s="19">
        <v>46079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7166</v>
      </c>
    </row>
    <row r="4" spans="2:4" x14ac:dyDescent="0.2">
      <c r="B4" s="6" t="s">
        <v>7165</v>
      </c>
    </row>
    <row r="5" spans="2:4" ht="9" customHeight="1" x14ac:dyDescent="0.2">
      <c r="B5" s="10"/>
    </row>
    <row r="6" spans="2:4" x14ac:dyDescent="0.2">
      <c r="B6" s="6" t="s">
        <v>7164</v>
      </c>
      <c r="C6" s="9"/>
      <c r="D6" s="9"/>
    </row>
    <row r="7" spans="2:4" x14ac:dyDescent="0.2">
      <c r="B7" s="8" t="s">
        <v>7163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E70"/>
  <sheetViews>
    <sheetView showGridLines="0" showRowColHeaders="0" topLeftCell="A4" zoomScale="130" zoomScaleNormal="130" workbookViewId="0">
      <selection activeCell="D50" sqref="D50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4" width="79.5" style="14" bestFit="1" customWidth="1"/>
    <col min="5" max="5" width="68.83203125" style="14" bestFit="1" customWidth="1"/>
    <col min="6" max="16384" width="10.83203125" style="14"/>
  </cols>
  <sheetData>
    <row r="1" spans="1:5" x14ac:dyDescent="0.2">
      <c r="A1" s="17" t="s">
        <v>7183</v>
      </c>
      <c r="B1" s="17" t="s">
        <v>7182</v>
      </c>
      <c r="C1" s="17" t="s">
        <v>7181</v>
      </c>
      <c r="D1" s="17" t="s">
        <v>7180</v>
      </c>
      <c r="E1" s="17" t="s">
        <v>7179</v>
      </c>
    </row>
    <row r="2" spans="1:5" x14ac:dyDescent="0.2">
      <c r="A2" s="15" t="s">
        <v>7174</v>
      </c>
      <c r="B2" s="15" t="s">
        <v>7173</v>
      </c>
      <c r="C2" s="16">
        <v>46070.494444444441</v>
      </c>
      <c r="D2" s="15" t="s">
        <v>7178</v>
      </c>
      <c r="E2" s="15" t="s">
        <v>7177</v>
      </c>
    </row>
    <row r="3" spans="1:5" x14ac:dyDescent="0.2">
      <c r="A3" s="15" t="s">
        <v>7174</v>
      </c>
      <c r="B3" s="15" t="s">
        <v>7173</v>
      </c>
      <c r="C3" s="16">
        <v>46070.494444444441</v>
      </c>
      <c r="D3" s="15" t="s">
        <v>7176</v>
      </c>
      <c r="E3" s="15" t="s">
        <v>7175</v>
      </c>
    </row>
    <row r="4" spans="1:5" x14ac:dyDescent="0.2">
      <c r="A4" s="15" t="s">
        <v>7174</v>
      </c>
      <c r="B4" s="15" t="s">
        <v>7173</v>
      </c>
      <c r="C4" s="16">
        <v>46070.494444444441</v>
      </c>
      <c r="D4" s="15" t="s">
        <v>7172</v>
      </c>
      <c r="E4" s="15" t="s">
        <v>7171</v>
      </c>
    </row>
    <row r="5" spans="1:5" x14ac:dyDescent="0.2">
      <c r="A5" s="15" t="s">
        <v>7174</v>
      </c>
      <c r="B5" s="15" t="s">
        <v>7173</v>
      </c>
      <c r="C5" s="16">
        <v>46070.494444444441</v>
      </c>
      <c r="D5" s="15" t="s">
        <v>7192</v>
      </c>
      <c r="E5" s="15" t="s">
        <v>7193</v>
      </c>
    </row>
    <row r="6" spans="1:5" x14ac:dyDescent="0.2">
      <c r="A6" s="15" t="s">
        <v>7174</v>
      </c>
      <c r="B6" s="15" t="s">
        <v>7173</v>
      </c>
      <c r="C6" s="16">
        <v>46071.380555555559</v>
      </c>
      <c r="D6" s="15" t="s">
        <v>7178</v>
      </c>
      <c r="E6" s="15" t="s">
        <v>7177</v>
      </c>
    </row>
    <row r="7" spans="1:5" x14ac:dyDescent="0.2">
      <c r="A7" s="15" t="s">
        <v>7174</v>
      </c>
      <c r="B7" s="15" t="s">
        <v>7173</v>
      </c>
      <c r="C7" s="16">
        <v>46071.380555555559</v>
      </c>
      <c r="D7" s="15" t="s">
        <v>7176</v>
      </c>
      <c r="E7" s="15" t="s">
        <v>7175</v>
      </c>
    </row>
    <row r="8" spans="1:5" x14ac:dyDescent="0.2">
      <c r="A8" s="15" t="s">
        <v>7174</v>
      </c>
      <c r="B8" s="15" t="s">
        <v>7173</v>
      </c>
      <c r="C8" s="16">
        <v>46071.380555555559</v>
      </c>
      <c r="D8" s="15" t="s">
        <v>7172</v>
      </c>
      <c r="E8" s="15" t="s">
        <v>7171</v>
      </c>
    </row>
    <row r="9" spans="1:5" x14ac:dyDescent="0.2">
      <c r="A9" s="15" t="s">
        <v>7174</v>
      </c>
      <c r="B9" s="15" t="s">
        <v>7173</v>
      </c>
      <c r="C9" s="16">
        <v>46071.380555555559</v>
      </c>
      <c r="D9" s="15" t="s">
        <v>7192</v>
      </c>
      <c r="E9" s="15" t="s">
        <v>7193</v>
      </c>
    </row>
    <row r="10" spans="1:5" x14ac:dyDescent="0.2">
      <c r="A10" s="15" t="s">
        <v>7174</v>
      </c>
      <c r="B10" s="15" t="s">
        <v>7173</v>
      </c>
      <c r="C10" s="16">
        <v>46071.386111111111</v>
      </c>
      <c r="D10" s="15" t="s">
        <v>7206</v>
      </c>
      <c r="E10" s="15" t="s">
        <v>7207</v>
      </c>
    </row>
    <row r="11" spans="1:5" x14ac:dyDescent="0.2">
      <c r="A11" s="15" t="s">
        <v>7174</v>
      </c>
      <c r="B11" s="15" t="s">
        <v>7173</v>
      </c>
      <c r="C11" s="16">
        <v>46071.386111111111</v>
      </c>
      <c r="D11" s="15" t="s">
        <v>7178</v>
      </c>
      <c r="E11" s="15" t="s">
        <v>7177</v>
      </c>
    </row>
    <row r="12" spans="1:5" x14ac:dyDescent="0.2">
      <c r="A12" s="15" t="s">
        <v>7174</v>
      </c>
      <c r="B12" s="15" t="s">
        <v>7173</v>
      </c>
      <c r="C12" s="16">
        <v>46071.386111111111</v>
      </c>
      <c r="D12" s="15" t="s">
        <v>7208</v>
      </c>
      <c r="E12" s="15" t="s">
        <v>7209</v>
      </c>
    </row>
    <row r="13" spans="1:5" x14ac:dyDescent="0.2">
      <c r="A13" s="15" t="s">
        <v>7174</v>
      </c>
      <c r="B13" s="15" t="s">
        <v>7173</v>
      </c>
      <c r="C13" s="16">
        <v>46071.386111111111</v>
      </c>
      <c r="D13" s="15" t="s">
        <v>7210</v>
      </c>
      <c r="E13" s="15" t="s">
        <v>7209</v>
      </c>
    </row>
    <row r="14" spans="1:5" x14ac:dyDescent="0.2">
      <c r="A14" s="15" t="s">
        <v>7174</v>
      </c>
      <c r="B14" s="15" t="s">
        <v>7173</v>
      </c>
      <c r="C14" s="16">
        <v>46071.386111111111</v>
      </c>
      <c r="D14" s="15" t="s">
        <v>7211</v>
      </c>
      <c r="E14" s="15" t="s">
        <v>7209</v>
      </c>
    </row>
    <row r="15" spans="1:5" x14ac:dyDescent="0.2">
      <c r="A15" s="15" t="s">
        <v>7174</v>
      </c>
      <c r="B15" s="15" t="s">
        <v>7173</v>
      </c>
      <c r="C15" s="16">
        <v>46071.386111111111</v>
      </c>
      <c r="D15" s="15" t="s">
        <v>7212</v>
      </c>
      <c r="E15" s="15" t="s">
        <v>7209</v>
      </c>
    </row>
    <row r="16" spans="1:5" x14ac:dyDescent="0.2">
      <c r="A16" s="15" t="s">
        <v>7174</v>
      </c>
      <c r="B16" s="15" t="s">
        <v>7173</v>
      </c>
      <c r="C16" s="16">
        <v>46071.386111111111</v>
      </c>
      <c r="D16" s="15" t="s">
        <v>7213</v>
      </c>
      <c r="E16" s="15" t="s">
        <v>7209</v>
      </c>
    </row>
    <row r="17" spans="1:5" x14ac:dyDescent="0.2">
      <c r="A17" s="15" t="s">
        <v>7174</v>
      </c>
      <c r="B17" s="15" t="s">
        <v>7173</v>
      </c>
      <c r="C17" s="16">
        <v>46071.386111111111</v>
      </c>
      <c r="D17" s="15" t="s">
        <v>7176</v>
      </c>
      <c r="E17" s="15" t="s">
        <v>7214</v>
      </c>
    </row>
    <row r="18" spans="1:5" x14ac:dyDescent="0.2">
      <c r="A18" s="15" t="s">
        <v>7174</v>
      </c>
      <c r="B18" s="15" t="s">
        <v>7173</v>
      </c>
      <c r="C18" s="16">
        <v>46071.386111111111</v>
      </c>
      <c r="D18" s="15" t="s">
        <v>7215</v>
      </c>
      <c r="E18" s="15" t="s">
        <v>7216</v>
      </c>
    </row>
    <row r="19" spans="1:5" x14ac:dyDescent="0.2">
      <c r="A19" s="15" t="s">
        <v>7174</v>
      </c>
      <c r="B19" s="15" t="s">
        <v>7173</v>
      </c>
      <c r="C19" s="16">
        <v>46071.386111111111</v>
      </c>
      <c r="D19" s="15" t="s">
        <v>7217</v>
      </c>
      <c r="E19" s="15" t="s">
        <v>7216</v>
      </c>
    </row>
    <row r="20" spans="1:5" x14ac:dyDescent="0.2">
      <c r="A20" s="15" t="s">
        <v>7174</v>
      </c>
      <c r="B20" s="15" t="s">
        <v>7173</v>
      </c>
      <c r="C20" s="16">
        <v>46071.386111111111</v>
      </c>
      <c r="D20" s="15" t="s">
        <v>7218</v>
      </c>
      <c r="E20" s="15" t="s">
        <v>7216</v>
      </c>
    </row>
    <row r="21" spans="1:5" x14ac:dyDescent="0.2">
      <c r="A21" s="15" t="s">
        <v>7174</v>
      </c>
      <c r="B21" s="15" t="s">
        <v>7173</v>
      </c>
      <c r="C21" s="16">
        <v>46071.386111111111</v>
      </c>
      <c r="D21" s="15" t="s">
        <v>7172</v>
      </c>
      <c r="E21" s="15" t="s">
        <v>7171</v>
      </c>
    </row>
    <row r="22" spans="1:5" x14ac:dyDescent="0.2">
      <c r="A22" s="15" t="s">
        <v>7174</v>
      </c>
      <c r="B22" s="15" t="s">
        <v>7173</v>
      </c>
      <c r="C22" s="16">
        <v>46071.386111111111</v>
      </c>
      <c r="D22" s="15" t="s">
        <v>7219</v>
      </c>
      <c r="E22" s="15" t="s">
        <v>7220</v>
      </c>
    </row>
    <row r="23" spans="1:5" x14ac:dyDescent="0.2">
      <c r="A23" s="15" t="s">
        <v>7174</v>
      </c>
      <c r="B23" s="15" t="s">
        <v>7173</v>
      </c>
      <c r="C23" s="16">
        <v>46071.386111111111</v>
      </c>
      <c r="D23" s="15" t="s">
        <v>7192</v>
      </c>
      <c r="E23" s="15" t="s">
        <v>7193</v>
      </c>
    </row>
    <row r="24" spans="1:5" x14ac:dyDescent="0.2">
      <c r="A24" s="15" t="s">
        <v>7174</v>
      </c>
      <c r="B24" s="15" t="s">
        <v>7173</v>
      </c>
      <c r="C24" s="16">
        <v>46071.386111111111</v>
      </c>
      <c r="D24" s="15" t="s">
        <v>7206</v>
      </c>
      <c r="E24" s="15" t="s">
        <v>7221</v>
      </c>
    </row>
    <row r="25" spans="1:5" x14ac:dyDescent="0.2">
      <c r="A25" s="15" t="s">
        <v>7174</v>
      </c>
      <c r="B25" s="15" t="s">
        <v>7173</v>
      </c>
      <c r="C25" s="16">
        <v>46071.386111111111</v>
      </c>
      <c r="D25" s="15" t="s">
        <v>7206</v>
      </c>
      <c r="E25" s="15" t="s">
        <v>7220</v>
      </c>
    </row>
    <row r="26" spans="1:5" x14ac:dyDescent="0.2">
      <c r="A26" s="15" t="s">
        <v>7174</v>
      </c>
      <c r="B26" s="15" t="s">
        <v>7173</v>
      </c>
      <c r="C26" s="16">
        <v>46071.386111111111</v>
      </c>
      <c r="D26" s="15" t="s">
        <v>7222</v>
      </c>
      <c r="E26" s="15" t="s">
        <v>7220</v>
      </c>
    </row>
    <row r="27" spans="1:5" x14ac:dyDescent="0.2">
      <c r="A27" s="15" t="s">
        <v>7174</v>
      </c>
      <c r="B27" s="15" t="s">
        <v>7173</v>
      </c>
      <c r="C27" s="16">
        <v>46071.386111111111</v>
      </c>
      <c r="D27" s="15" t="s">
        <v>7223</v>
      </c>
      <c r="E27" s="15" t="s">
        <v>7220</v>
      </c>
    </row>
    <row r="28" spans="1:5" x14ac:dyDescent="0.2">
      <c r="A28" s="15" t="s">
        <v>7174</v>
      </c>
      <c r="B28" s="15" t="s">
        <v>7173</v>
      </c>
      <c r="C28" s="16">
        <v>46071.386111111111</v>
      </c>
      <c r="D28" s="15" t="s">
        <v>7224</v>
      </c>
      <c r="E28" s="15" t="s">
        <v>7220</v>
      </c>
    </row>
    <row r="29" spans="1:5" x14ac:dyDescent="0.2">
      <c r="A29" s="15" t="s">
        <v>7174</v>
      </c>
      <c r="B29" s="15" t="s">
        <v>7173</v>
      </c>
      <c r="C29" s="16">
        <v>46071.386111111111</v>
      </c>
      <c r="D29" s="15" t="s">
        <v>7225</v>
      </c>
      <c r="E29" s="15" t="s">
        <v>7220</v>
      </c>
    </row>
    <row r="30" spans="1:5" x14ac:dyDescent="0.2">
      <c r="A30" s="15" t="s">
        <v>7174</v>
      </c>
      <c r="B30" s="15" t="s">
        <v>7173</v>
      </c>
      <c r="C30" s="16">
        <v>46071.386111111111</v>
      </c>
      <c r="D30" s="15" t="s">
        <v>7226</v>
      </c>
      <c r="E30" s="15" t="s">
        <v>7227</v>
      </c>
    </row>
    <row r="31" spans="1:5" x14ac:dyDescent="0.2">
      <c r="A31" s="15" t="s">
        <v>7174</v>
      </c>
      <c r="B31" s="15" t="s">
        <v>7173</v>
      </c>
      <c r="C31" s="16">
        <v>46071.386111111111</v>
      </c>
      <c r="D31" s="15" t="s">
        <v>7228</v>
      </c>
      <c r="E31" s="15" t="s">
        <v>7227</v>
      </c>
    </row>
    <row r="32" spans="1:5" x14ac:dyDescent="0.2">
      <c r="A32" s="15" t="s">
        <v>7174</v>
      </c>
      <c r="B32" s="15" t="s">
        <v>7173</v>
      </c>
      <c r="C32" s="16">
        <v>46071.386111111111</v>
      </c>
      <c r="D32" s="15" t="s">
        <v>7229</v>
      </c>
      <c r="E32" s="15" t="s">
        <v>7227</v>
      </c>
    </row>
    <row r="33" spans="1:5" x14ac:dyDescent="0.2">
      <c r="A33" s="15" t="s">
        <v>7174</v>
      </c>
      <c r="B33" s="15" t="s">
        <v>7173</v>
      </c>
      <c r="C33" s="16">
        <v>46071.386111111111</v>
      </c>
      <c r="D33" s="15" t="s">
        <v>7230</v>
      </c>
      <c r="E33" s="15" t="s">
        <v>7231</v>
      </c>
    </row>
    <row r="34" spans="1:5" x14ac:dyDescent="0.2">
      <c r="A34" s="15" t="s">
        <v>7174</v>
      </c>
      <c r="B34" s="15" t="s">
        <v>7173</v>
      </c>
      <c r="C34" s="16">
        <v>46071.386111111111</v>
      </c>
      <c r="D34" s="15" t="s">
        <v>7230</v>
      </c>
      <c r="E34" s="15" t="s">
        <v>7227</v>
      </c>
    </row>
    <row r="35" spans="1:5" x14ac:dyDescent="0.2">
      <c r="A35" s="15" t="s">
        <v>7174</v>
      </c>
      <c r="B35" s="15" t="s">
        <v>7173</v>
      </c>
      <c r="C35" s="16">
        <v>46071.386111111111</v>
      </c>
      <c r="D35" s="15" t="s">
        <v>7232</v>
      </c>
      <c r="E35" s="15" t="s">
        <v>7227</v>
      </c>
    </row>
    <row r="36" spans="1:5" x14ac:dyDescent="0.2">
      <c r="A36" s="15" t="s">
        <v>7174</v>
      </c>
      <c r="B36" s="15" t="s">
        <v>7173</v>
      </c>
      <c r="C36" s="16">
        <v>46071.386111111111</v>
      </c>
      <c r="D36" s="15" t="s">
        <v>7233</v>
      </c>
      <c r="E36" s="15" t="s">
        <v>7227</v>
      </c>
    </row>
    <row r="37" spans="1:5" x14ac:dyDescent="0.2">
      <c r="A37" s="15" t="s">
        <v>7174</v>
      </c>
      <c r="B37" s="15" t="s">
        <v>7173</v>
      </c>
      <c r="C37" s="16">
        <v>46071.386111111111</v>
      </c>
      <c r="D37" s="15" t="s">
        <v>7234</v>
      </c>
      <c r="E37" s="15" t="s">
        <v>7227</v>
      </c>
    </row>
    <row r="38" spans="1:5" x14ac:dyDescent="0.2">
      <c r="A38" s="15" t="s">
        <v>7174</v>
      </c>
      <c r="B38" s="15" t="s">
        <v>7173</v>
      </c>
      <c r="C38" s="16">
        <v>46071.386111111111</v>
      </c>
      <c r="D38" s="15" t="s">
        <v>7235</v>
      </c>
      <c r="E38" s="15" t="s">
        <v>7227</v>
      </c>
    </row>
    <row r="39" spans="1:5" x14ac:dyDescent="0.2">
      <c r="A39" s="15" t="s">
        <v>7174</v>
      </c>
      <c r="B39" s="15" t="s">
        <v>7173</v>
      </c>
      <c r="C39" s="16">
        <v>46071.386111111111</v>
      </c>
      <c r="D39" s="15" t="s">
        <v>7235</v>
      </c>
      <c r="E39" s="15" t="s">
        <v>7231</v>
      </c>
    </row>
    <row r="40" spans="1:5" x14ac:dyDescent="0.2">
      <c r="A40" s="15" t="s">
        <v>7174</v>
      </c>
      <c r="B40" s="15" t="s">
        <v>7173</v>
      </c>
      <c r="C40" s="16">
        <v>46071.386111111111</v>
      </c>
      <c r="D40" s="15" t="s">
        <v>7236</v>
      </c>
      <c r="E40" s="15" t="s">
        <v>7227</v>
      </c>
    </row>
    <row r="41" spans="1:5" x14ac:dyDescent="0.2">
      <c r="A41" s="15" t="s">
        <v>7174</v>
      </c>
      <c r="B41" s="15" t="s">
        <v>7173</v>
      </c>
      <c r="C41" s="16">
        <v>46071.386111111111</v>
      </c>
      <c r="D41" s="15" t="s">
        <v>7237</v>
      </c>
      <c r="E41" s="15" t="s">
        <v>7238</v>
      </c>
    </row>
    <row r="42" spans="1:5" x14ac:dyDescent="0.2">
      <c r="A42" s="15" t="s">
        <v>7174</v>
      </c>
      <c r="B42" s="15" t="s">
        <v>7173</v>
      </c>
      <c r="C42" s="16">
        <v>46071.393750000003</v>
      </c>
      <c r="D42" s="15" t="s">
        <v>7206</v>
      </c>
      <c r="E42" s="15" t="s">
        <v>7207</v>
      </c>
    </row>
    <row r="43" spans="1:5" x14ac:dyDescent="0.2">
      <c r="A43" s="15" t="s">
        <v>7174</v>
      </c>
      <c r="B43" s="15" t="s">
        <v>7173</v>
      </c>
      <c r="C43" s="16">
        <v>46071.393750000003</v>
      </c>
      <c r="D43" s="15" t="s">
        <v>7208</v>
      </c>
      <c r="E43" s="15" t="s">
        <v>7209</v>
      </c>
    </row>
    <row r="44" spans="1:5" x14ac:dyDescent="0.2">
      <c r="A44" s="15" t="s">
        <v>7174</v>
      </c>
      <c r="B44" s="15" t="s">
        <v>7173</v>
      </c>
      <c r="C44" s="16">
        <v>46071.393750000003</v>
      </c>
      <c r="D44" s="15" t="s">
        <v>7210</v>
      </c>
      <c r="E44" s="15" t="s">
        <v>7209</v>
      </c>
    </row>
    <row r="45" spans="1:5" x14ac:dyDescent="0.2">
      <c r="A45" s="15" t="s">
        <v>7174</v>
      </c>
      <c r="B45" s="15" t="s">
        <v>7173</v>
      </c>
      <c r="C45" s="16">
        <v>46071.393750000003</v>
      </c>
      <c r="D45" s="15" t="s">
        <v>7211</v>
      </c>
      <c r="E45" s="15" t="s">
        <v>7209</v>
      </c>
    </row>
    <row r="46" spans="1:5" x14ac:dyDescent="0.2">
      <c r="A46" s="15" t="s">
        <v>7174</v>
      </c>
      <c r="B46" s="15" t="s">
        <v>7173</v>
      </c>
      <c r="C46" s="16">
        <v>46071.393750000003</v>
      </c>
      <c r="D46" s="15" t="s">
        <v>7212</v>
      </c>
      <c r="E46" s="15" t="s">
        <v>7209</v>
      </c>
    </row>
    <row r="47" spans="1:5" x14ac:dyDescent="0.2">
      <c r="A47" s="15" t="s">
        <v>7174</v>
      </c>
      <c r="B47" s="15" t="s">
        <v>7173</v>
      </c>
      <c r="C47" s="16">
        <v>46071.393750000003</v>
      </c>
      <c r="D47" s="15" t="s">
        <v>7213</v>
      </c>
      <c r="E47" s="15" t="s">
        <v>7209</v>
      </c>
    </row>
    <row r="48" spans="1:5" x14ac:dyDescent="0.2">
      <c r="A48" s="15" t="s">
        <v>7174</v>
      </c>
      <c r="B48" s="15" t="s">
        <v>7173</v>
      </c>
      <c r="C48" s="16">
        <v>46071.393750000003</v>
      </c>
      <c r="D48" s="15" t="s">
        <v>7176</v>
      </c>
      <c r="E48" s="15" t="s">
        <v>7214</v>
      </c>
    </row>
    <row r="49" spans="1:5" x14ac:dyDescent="0.2">
      <c r="A49" s="15" t="s">
        <v>7174</v>
      </c>
      <c r="B49" s="15" t="s">
        <v>7173</v>
      </c>
      <c r="C49" s="16">
        <v>46071.393750000003</v>
      </c>
      <c r="D49" s="15" t="s">
        <v>7215</v>
      </c>
      <c r="E49" s="15" t="s">
        <v>7216</v>
      </c>
    </row>
    <row r="50" spans="1:5" x14ac:dyDescent="0.2">
      <c r="A50" s="15" t="s">
        <v>7174</v>
      </c>
      <c r="B50" s="15" t="s">
        <v>7173</v>
      </c>
      <c r="C50" s="16">
        <v>46071.393750000003</v>
      </c>
      <c r="D50" s="15" t="s">
        <v>7217</v>
      </c>
      <c r="E50" s="15" t="s">
        <v>7216</v>
      </c>
    </row>
    <row r="51" spans="1:5" x14ac:dyDescent="0.2">
      <c r="A51" s="15" t="s">
        <v>7174</v>
      </c>
      <c r="B51" s="15" t="s">
        <v>7173</v>
      </c>
      <c r="C51" s="16">
        <v>46071.393750000003</v>
      </c>
      <c r="D51" s="15" t="s">
        <v>7218</v>
      </c>
      <c r="E51" s="15" t="s">
        <v>7216</v>
      </c>
    </row>
    <row r="52" spans="1:5" x14ac:dyDescent="0.2">
      <c r="A52" s="15" t="s">
        <v>7174</v>
      </c>
      <c r="B52" s="15" t="s">
        <v>7173</v>
      </c>
      <c r="C52" s="16">
        <v>46071.393750000003</v>
      </c>
      <c r="D52" s="15" t="s">
        <v>7219</v>
      </c>
      <c r="E52" s="15" t="s">
        <v>7220</v>
      </c>
    </row>
    <row r="53" spans="1:5" x14ac:dyDescent="0.2">
      <c r="A53" s="15" t="s">
        <v>7174</v>
      </c>
      <c r="B53" s="15" t="s">
        <v>7173</v>
      </c>
      <c r="C53" s="16">
        <v>46071.393750000003</v>
      </c>
      <c r="D53" s="15" t="s">
        <v>7206</v>
      </c>
      <c r="E53" s="15" t="s">
        <v>7221</v>
      </c>
    </row>
    <row r="54" spans="1:5" x14ac:dyDescent="0.2">
      <c r="A54" s="15" t="s">
        <v>7174</v>
      </c>
      <c r="B54" s="15" t="s">
        <v>7173</v>
      </c>
      <c r="C54" s="16">
        <v>46071.393750000003</v>
      </c>
      <c r="D54" s="15" t="s">
        <v>7206</v>
      </c>
      <c r="E54" s="15" t="s">
        <v>7220</v>
      </c>
    </row>
    <row r="55" spans="1:5" x14ac:dyDescent="0.2">
      <c r="A55" s="15" t="s">
        <v>7174</v>
      </c>
      <c r="B55" s="15" t="s">
        <v>7173</v>
      </c>
      <c r="C55" s="16">
        <v>46071.393750000003</v>
      </c>
      <c r="D55" s="15" t="s">
        <v>7222</v>
      </c>
      <c r="E55" s="15" t="s">
        <v>7220</v>
      </c>
    </row>
    <row r="56" spans="1:5" x14ac:dyDescent="0.2">
      <c r="A56" s="15" t="s">
        <v>7174</v>
      </c>
      <c r="B56" s="15" t="s">
        <v>7173</v>
      </c>
      <c r="C56" s="16">
        <v>46071.393750000003</v>
      </c>
      <c r="D56" s="15" t="s">
        <v>7223</v>
      </c>
      <c r="E56" s="15" t="s">
        <v>7220</v>
      </c>
    </row>
    <row r="57" spans="1:5" x14ac:dyDescent="0.2">
      <c r="A57" s="15" t="s">
        <v>7174</v>
      </c>
      <c r="B57" s="15" t="s">
        <v>7173</v>
      </c>
      <c r="C57" s="16">
        <v>46071.393750000003</v>
      </c>
      <c r="D57" s="15" t="s">
        <v>7224</v>
      </c>
      <c r="E57" s="15" t="s">
        <v>7220</v>
      </c>
    </row>
    <row r="58" spans="1:5" x14ac:dyDescent="0.2">
      <c r="A58" s="15" t="s">
        <v>7174</v>
      </c>
      <c r="B58" s="15" t="s">
        <v>7173</v>
      </c>
      <c r="C58" s="16">
        <v>46071.393750000003</v>
      </c>
      <c r="D58" s="15" t="s">
        <v>7225</v>
      </c>
      <c r="E58" s="15" t="s">
        <v>7220</v>
      </c>
    </row>
    <row r="59" spans="1:5" x14ac:dyDescent="0.2">
      <c r="A59" s="15" t="s">
        <v>7174</v>
      </c>
      <c r="B59" s="15" t="s">
        <v>7173</v>
      </c>
      <c r="C59" s="16">
        <v>46071.393750000003</v>
      </c>
      <c r="D59" s="15" t="s">
        <v>7226</v>
      </c>
      <c r="E59" s="15" t="s">
        <v>7227</v>
      </c>
    </row>
    <row r="60" spans="1:5" x14ac:dyDescent="0.2">
      <c r="A60" s="15" t="s">
        <v>7174</v>
      </c>
      <c r="B60" s="15" t="s">
        <v>7173</v>
      </c>
      <c r="C60" s="16">
        <v>46071.393750000003</v>
      </c>
      <c r="D60" s="15" t="s">
        <v>7228</v>
      </c>
      <c r="E60" s="15" t="s">
        <v>7227</v>
      </c>
    </row>
    <row r="61" spans="1:5" x14ac:dyDescent="0.2">
      <c r="A61" s="15" t="s">
        <v>7174</v>
      </c>
      <c r="B61" s="15" t="s">
        <v>7173</v>
      </c>
      <c r="C61" s="16">
        <v>46071.393750000003</v>
      </c>
      <c r="D61" s="15" t="s">
        <v>7229</v>
      </c>
      <c r="E61" s="15" t="s">
        <v>7227</v>
      </c>
    </row>
    <row r="62" spans="1:5" x14ac:dyDescent="0.2">
      <c r="A62" s="15" t="s">
        <v>7174</v>
      </c>
      <c r="B62" s="15" t="s">
        <v>7173</v>
      </c>
      <c r="C62" s="16">
        <v>46071.393750000003</v>
      </c>
      <c r="D62" s="15" t="s">
        <v>7230</v>
      </c>
      <c r="E62" s="15" t="s">
        <v>7231</v>
      </c>
    </row>
    <row r="63" spans="1:5" x14ac:dyDescent="0.2">
      <c r="A63" s="15" t="s">
        <v>7174</v>
      </c>
      <c r="B63" s="15" t="s">
        <v>7173</v>
      </c>
      <c r="C63" s="16">
        <v>46071.393750000003</v>
      </c>
      <c r="D63" s="15" t="s">
        <v>7230</v>
      </c>
      <c r="E63" s="15" t="s">
        <v>7227</v>
      </c>
    </row>
    <row r="64" spans="1:5" x14ac:dyDescent="0.2">
      <c r="A64" s="15" t="s">
        <v>7174</v>
      </c>
      <c r="B64" s="15" t="s">
        <v>7173</v>
      </c>
      <c r="C64" s="16">
        <v>46071.393750000003</v>
      </c>
      <c r="D64" s="15" t="s">
        <v>7232</v>
      </c>
      <c r="E64" s="15" t="s">
        <v>7227</v>
      </c>
    </row>
    <row r="65" spans="1:5" x14ac:dyDescent="0.2">
      <c r="A65" s="15" t="s">
        <v>7174</v>
      </c>
      <c r="B65" s="15" t="s">
        <v>7173</v>
      </c>
      <c r="C65" s="16">
        <v>46071.393750000003</v>
      </c>
      <c r="D65" s="15" t="s">
        <v>7233</v>
      </c>
      <c r="E65" s="15" t="s">
        <v>7227</v>
      </c>
    </row>
    <row r="66" spans="1:5" x14ac:dyDescent="0.2">
      <c r="A66" s="15" t="s">
        <v>7174</v>
      </c>
      <c r="B66" s="15" t="s">
        <v>7173</v>
      </c>
      <c r="C66" s="16">
        <v>46071.393750000003</v>
      </c>
      <c r="D66" s="15" t="s">
        <v>7234</v>
      </c>
      <c r="E66" s="15" t="s">
        <v>7227</v>
      </c>
    </row>
    <row r="67" spans="1:5" x14ac:dyDescent="0.2">
      <c r="A67" s="15" t="s">
        <v>7174</v>
      </c>
      <c r="B67" s="15" t="s">
        <v>7173</v>
      </c>
      <c r="C67" s="16">
        <v>46071.393750000003</v>
      </c>
      <c r="D67" s="15" t="s">
        <v>7235</v>
      </c>
      <c r="E67" s="15" t="s">
        <v>7227</v>
      </c>
    </row>
    <row r="68" spans="1:5" x14ac:dyDescent="0.2">
      <c r="A68" s="15" t="s">
        <v>7174</v>
      </c>
      <c r="B68" s="15" t="s">
        <v>7173</v>
      </c>
      <c r="C68" s="16">
        <v>46071.393750000003</v>
      </c>
      <c r="D68" s="15" t="s">
        <v>7235</v>
      </c>
      <c r="E68" s="15" t="s">
        <v>7231</v>
      </c>
    </row>
    <row r="69" spans="1:5" x14ac:dyDescent="0.2">
      <c r="A69" s="15" t="s">
        <v>7174</v>
      </c>
      <c r="B69" s="15" t="s">
        <v>7173</v>
      </c>
      <c r="C69" s="16">
        <v>46071.393750000003</v>
      </c>
      <c r="D69" s="15" t="s">
        <v>7236</v>
      </c>
      <c r="E69" s="15" t="s">
        <v>7227</v>
      </c>
    </row>
    <row r="70" spans="1:5" x14ac:dyDescent="0.2">
      <c r="A70" s="15" t="s">
        <v>7174</v>
      </c>
      <c r="B70" s="15" t="s">
        <v>7173</v>
      </c>
      <c r="C70" s="16">
        <v>46071.393750000003</v>
      </c>
      <c r="D70" s="15" t="s">
        <v>7237</v>
      </c>
      <c r="E70" s="15" t="s">
        <v>7238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D49" sqref="D49"/>
    </sheetView>
  </sheetViews>
  <sheetFormatPr baseColWidth="10" defaultRowHeight="16" x14ac:dyDescent="0.2"/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2026-02-18T08:32:48Z</dcterms:modified>
</cp:coreProperties>
</file>